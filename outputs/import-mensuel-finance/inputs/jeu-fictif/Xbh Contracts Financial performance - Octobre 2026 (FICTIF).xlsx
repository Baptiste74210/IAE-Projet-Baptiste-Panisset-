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XBH Contrac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<sst xmlns="http://schemas.openxmlformats.org/spreadsheetml/2006/main" count="2003" uniqueCount="830">
  <si>
    <t xml:space="preserve">Xbh Contracts Financial performance : Octobre 2026 — DONNÉES FICTIVES</t>
  </si>
  <si>
    <t xml:space="preserve">Jeu de test fictif — aucune donnée Airbus réelle</t>
  </si>
  <si>
    <t xml:space="preserve">TOTAUX GLOBAUX — tous contrats</t>
  </si>
  <si>
    <t xml:space="preserve">Turnover (€)</t>
  </si>
  <si>
    <t xml:space="preserve">Invoicing (€)</t>
  </si>
  <si>
    <t xml:space="preserve">Cost (€)</t>
  </si>
  <si>
    <t xml:space="preserve">Flight Hours</t>
  </si>
  <si>
    <t xml:space="preserve">Nombre de lignes de contrats</t>
  </si>
  <si>
    <t xml:space="preserve">TOTAUX PAR RÉGION — Turnover (€)</t>
  </si>
  <si>
    <t xml:space="preserve">Europe</t>
  </si>
  <si>
    <t xml:space="preserve">NORAM</t>
  </si>
  <si>
    <t xml:space="preserve">LATAM</t>
  </si>
  <si>
    <t xml:space="preserve">APAC</t>
  </si>
  <si>
    <t xml:space="preserve">AFME</t>
  </si>
  <si>
    <t xml:space="preserve">WBS</t>
  </si>
  <si>
    <t xml:space="preserve">Client Name</t>
  </si>
  <si>
    <t xml:space="preserve">Contract Type</t>
  </si>
  <si>
    <t xml:space="preserve">Region</t>
  </si>
  <si>
    <t xml:space="preserve">Country</t>
  </si>
  <si>
    <t xml:space="preserve">FH.SWJJL</t>
  </si>
  <si>
    <t xml:space="preserve">Vista Aero Rescue</t>
  </si>
  <si>
    <t xml:space="preserve">XBH</t>
  </si>
  <si>
    <t xml:space="preserve">Kenya</t>
  </si>
  <si>
    <t xml:space="preserve">FH.6DNK9</t>
  </si>
  <si>
    <t xml:space="preserve">Pacific Wings Offshore</t>
  </si>
  <si>
    <t xml:space="preserve">PBH</t>
  </si>
  <si>
    <t xml:space="preserve">Allemagne</t>
  </si>
  <si>
    <t xml:space="preserve">FH.8HBEP</t>
  </si>
  <si>
    <t xml:space="preserve">Condor Flight Rescue</t>
  </si>
  <si>
    <t xml:space="preserve">FBH</t>
  </si>
  <si>
    <t xml:space="preserve">États-Unis</t>
  </si>
  <si>
    <t xml:space="preserve">FH.C72UG</t>
  </si>
  <si>
    <t xml:space="preserve">Cardinal Fleet Services</t>
  </si>
  <si>
    <t xml:space="preserve">Canada</t>
  </si>
  <si>
    <t xml:space="preserve">FH.TSHBL</t>
  </si>
  <si>
    <t xml:space="preserve">Falcon Aviation Patrol</t>
  </si>
  <si>
    <t xml:space="preserve">Australie</t>
  </si>
  <si>
    <t xml:space="preserve">FH.7NUJV</t>
  </si>
  <si>
    <t xml:space="preserve">Lynx Air Medevac</t>
  </si>
  <si>
    <t xml:space="preserve">Brésil</t>
  </si>
  <si>
    <t xml:space="preserve">FH.PBSL8</t>
  </si>
  <si>
    <t xml:space="preserve">Sierra Heli Partners (nouveau)</t>
  </si>
  <si>
    <t xml:space="preserve">FH.LXYK4</t>
  </si>
  <si>
    <t xml:space="preserve">Nordic Flight Logistics</t>
  </si>
  <si>
    <t xml:space="preserve">Nigeria</t>
  </si>
  <si>
    <t xml:space="preserve">FH.FNUE9</t>
  </si>
  <si>
    <t xml:space="preserve">Sierra Aero Medevac</t>
  </si>
  <si>
    <t xml:space="preserve">Suisse</t>
  </si>
  <si>
    <t xml:space="preserve">FH.H4P7D</t>
  </si>
  <si>
    <t xml:space="preserve">Cardinal Aviation Patrol</t>
  </si>
  <si>
    <t xml:space="preserve">FH.PPLEJ</t>
  </si>
  <si>
    <t xml:space="preserve">Orion Flight Services</t>
  </si>
  <si>
    <t xml:space="preserve">France</t>
  </si>
  <si>
    <t xml:space="preserve">FH.TPLPH</t>
  </si>
  <si>
    <t xml:space="preserve">Crystal Lift Medevac</t>
  </si>
  <si>
    <t xml:space="preserve">Inde</t>
  </si>
  <si>
    <t xml:space="preserve">FH.RSU9T</t>
  </si>
  <si>
    <t xml:space="preserve">Polar Rotor Operations</t>
  </si>
  <si>
    <t xml:space="preserve">Chili</t>
  </si>
  <si>
    <t xml:space="preserve">FH.GX87S</t>
  </si>
  <si>
    <t xml:space="preserve">Pacific Air Group</t>
  </si>
  <si>
    <t xml:space="preserve">FH.6CFK6</t>
  </si>
  <si>
    <t xml:space="preserve">Granite Lift Medevac</t>
  </si>
  <si>
    <t xml:space="preserve">Nordic Wings Charter</t>
  </si>
  <si>
    <t xml:space="preserve">Multiservices</t>
  </si>
  <si>
    <t xml:space="preserve">Norvège</t>
  </si>
  <si>
    <t xml:space="preserve">FH.9LZYY</t>
  </si>
  <si>
    <t xml:space="preserve">Crystal Wings Express (nouveau)</t>
  </si>
  <si>
    <t xml:space="preserve">Malaisie</t>
  </si>
  <si>
    <t xml:space="preserve">FH.9KD2K</t>
  </si>
  <si>
    <t xml:space="preserve">Meridian Air Offshore</t>
  </si>
  <si>
    <t xml:space="preserve">Mexique</t>
  </si>
  <si>
    <t xml:space="preserve">FH.98AKW</t>
  </si>
  <si>
    <t xml:space="preserve">Ultra Aviation Services</t>
  </si>
  <si>
    <t xml:space="preserve">FH.JN2W4</t>
  </si>
  <si>
    <t xml:space="preserve">Lynx Wings Group</t>
  </si>
  <si>
    <t xml:space="preserve">FH.G2WKD</t>
  </si>
  <si>
    <t xml:space="preserve">Solar Flight Systems</t>
  </si>
  <si>
    <t xml:space="preserve">Titan Air Patrol</t>
  </si>
  <si>
    <t xml:space="preserve">FH.U4PFL</t>
  </si>
  <si>
    <t xml:space="preserve">Zephyr Fleet Medevac</t>
  </si>
  <si>
    <t xml:space="preserve">Émirats arabes unis</t>
  </si>
  <si>
    <t xml:space="preserve">FH.BZFYN</t>
  </si>
  <si>
    <t xml:space="preserve">Sierra Lift Charter</t>
  </si>
  <si>
    <t xml:space="preserve">FH.PAXA5</t>
  </si>
  <si>
    <t xml:space="preserve">Atlas Heli Logistics</t>
  </si>
  <si>
    <t xml:space="preserve">FH.RNZYQ</t>
  </si>
  <si>
    <t xml:space="preserve">Zenith Wings Operations</t>
  </si>
  <si>
    <t xml:space="preserve">FH.4ZTJ4</t>
  </si>
  <si>
    <t xml:space="preserve">Raven Aviation Systems</t>
  </si>
  <si>
    <t xml:space="preserve">Japon</t>
  </si>
  <si>
    <t xml:space="preserve">FH.7L2SQ</t>
  </si>
  <si>
    <t xml:space="preserve">Cardinal Wings Offshore</t>
  </si>
  <si>
    <t xml:space="preserve">FH.NZT3H</t>
  </si>
  <si>
    <t xml:space="preserve">Atlas Sky Offshore</t>
  </si>
  <si>
    <t xml:space="preserve">FH.QKK4Y</t>
  </si>
  <si>
    <t xml:space="preserve">Sierra Aero Operations</t>
  </si>
  <si>
    <t xml:space="preserve">FH.MDWVA</t>
  </si>
  <si>
    <t xml:space="preserve">Quartz Fleet Group</t>
  </si>
  <si>
    <t xml:space="preserve">Corée du Sud</t>
  </si>
  <si>
    <t xml:space="preserve">FH.AUQC4</t>
  </si>
  <si>
    <t xml:space="preserve">Kestrel Heli Operations</t>
  </si>
  <si>
    <t xml:space="preserve">FH.IPRFK</t>
  </si>
  <si>
    <t xml:space="preserve">Nordic Air Services</t>
  </si>
  <si>
    <t xml:space="preserve">Colombie</t>
  </si>
  <si>
    <t xml:space="preserve">FH.9ZG7T</t>
  </si>
  <si>
    <t xml:space="preserve">Pacific Wings Services</t>
  </si>
  <si>
    <t xml:space="preserve">FH.QBRDS</t>
  </si>
  <si>
    <t xml:space="preserve">Sierra Sky Operations</t>
  </si>
  <si>
    <t xml:space="preserve">FH.5XP3C</t>
  </si>
  <si>
    <t xml:space="preserve">Condor Aviation Systems</t>
  </si>
  <si>
    <t xml:space="preserve">FH.2X2KD</t>
  </si>
  <si>
    <t xml:space="preserve">Onyx Rotor Medevac</t>
  </si>
  <si>
    <t xml:space="preserve">FH.N8G93</t>
  </si>
  <si>
    <t xml:space="preserve">Blue Flight Operations</t>
  </si>
  <si>
    <t xml:space="preserve">FH.HQW88</t>
  </si>
  <si>
    <t xml:space="preserve">Onyx Lift Group</t>
  </si>
  <si>
    <t xml:space="preserve">N/A</t>
  </si>
  <si>
    <t xml:space="preserve">FH.92DT2</t>
  </si>
  <si>
    <t xml:space="preserve">Granite Rotor Medevac</t>
  </si>
  <si>
    <t xml:space="preserve">FH.2L67Q</t>
  </si>
  <si>
    <t xml:space="preserve">Cardinal Aero Systems</t>
  </si>
  <si>
    <t xml:space="preserve">Afrique du Sud</t>
  </si>
  <si>
    <t xml:space="preserve">FH.V3RYF</t>
  </si>
  <si>
    <t xml:space="preserve">Summit Wings Offshore</t>
  </si>
  <si>
    <t xml:space="preserve">FH.NKPLQ</t>
  </si>
  <si>
    <t xml:space="preserve">Harbor Aviation Rescue</t>
  </si>
  <si>
    <t xml:space="preserve">Italie</t>
  </si>
  <si>
    <t xml:space="preserve">FH.4NHTY</t>
  </si>
  <si>
    <t xml:space="preserve">Nova Air Patrol</t>
  </si>
  <si>
    <t xml:space="preserve">Belgique</t>
  </si>
  <si>
    <t xml:space="preserve">FH.63QN7</t>
  </si>
  <si>
    <t xml:space="preserve">Cardinal Rotor Rescue</t>
  </si>
  <si>
    <t xml:space="preserve">FH.JLUD7</t>
  </si>
  <si>
    <t xml:space="preserve">Lynx Air Offshore</t>
  </si>
  <si>
    <t xml:space="preserve">FH.2WZX6</t>
  </si>
  <si>
    <t xml:space="preserve">Aurora Sky Services</t>
  </si>
  <si>
    <t xml:space="preserve">FH.9G3LJ</t>
  </si>
  <si>
    <t xml:space="preserve">Titan Aero Medevac</t>
  </si>
  <si>
    <t xml:space="preserve">FH.YMRCF</t>
  </si>
  <si>
    <t xml:space="preserve">Crystal Flight Offshore</t>
  </si>
  <si>
    <t xml:space="preserve">FH.f9xfc</t>
  </si>
  <si>
    <t xml:space="preserve">Harbor Heli Charter</t>
  </si>
  <si>
    <t xml:space="preserve">Arabie saoudite</t>
  </si>
  <si>
    <t xml:space="preserve"> FH.7JHPD</t>
  </si>
  <si>
    <t xml:space="preserve">Atlas Rotor Rescue</t>
  </si>
  <si>
    <t xml:space="preserve">FH.ZPUV6</t>
  </si>
  <si>
    <t xml:space="preserve">Vector Air Medevac</t>
  </si>
  <si>
    <t xml:space="preserve">FH.VSAXT</t>
  </si>
  <si>
    <t xml:space="preserve">Cardinal Fleet Patrol</t>
  </si>
  <si>
    <t xml:space="preserve">FH.9WWTB</t>
  </si>
  <si>
    <t xml:space="preserve">Cedar Aero Operations</t>
  </si>
  <si>
    <t xml:space="preserve">FH.JVKZ2</t>
  </si>
  <si>
    <t xml:space="preserve">Horizon Air Medevac</t>
  </si>
  <si>
    <t xml:space="preserve">Pologne</t>
  </si>
  <si>
    <t xml:space="preserve">FH.DF7Q2</t>
  </si>
  <si>
    <t xml:space="preserve">Zephyr Wings Logistics</t>
  </si>
  <si>
    <t xml:space="preserve">FH.4LFTS</t>
  </si>
  <si>
    <t xml:space="preserve">Onyx Sky Services</t>
  </si>
  <si>
    <t xml:space="preserve"> FH.YCVP9</t>
  </si>
  <si>
    <t xml:space="preserve">Sierra Fleet Patrol</t>
  </si>
  <si>
    <t xml:space="preserve">FH.8SJCU</t>
  </si>
  <si>
    <t xml:space="preserve">Vector Air Operations</t>
  </si>
  <si>
    <t xml:space="preserve">FH.BLZ76</t>
  </si>
  <si>
    <t xml:space="preserve">Wind Aviation Patrol</t>
  </si>
  <si>
    <t xml:space="preserve">Argentine</t>
  </si>
  <si>
    <t xml:space="preserve">FH.U3WWC</t>
  </si>
  <si>
    <t xml:space="preserve">Nordic Heli Patrol</t>
  </si>
  <si>
    <t xml:space="preserve">FH.M8EDZ</t>
  </si>
  <si>
    <t xml:space="preserve">Nova Lift Group</t>
  </si>
  <si>
    <t xml:space="preserve">FH.PGDXG</t>
  </si>
  <si>
    <t xml:space="preserve">Kestrel Heli Patrol</t>
  </si>
  <si>
    <t xml:space="preserve">FH.JSFNG</t>
  </si>
  <si>
    <t xml:space="preserve">Ultra Rotor Charter</t>
  </si>
  <si>
    <t xml:space="preserve">Singapour</t>
  </si>
  <si>
    <t xml:space="preserve">FH.J92BN</t>
  </si>
  <si>
    <t xml:space="preserve">Boreal Wings Patrol</t>
  </si>
  <si>
    <t xml:space="preserve">FH.ZU5K4</t>
  </si>
  <si>
    <t xml:space="preserve">Cedar Fleet Logistics</t>
  </si>
  <si>
    <t xml:space="preserve">FH.FHFEM</t>
  </si>
  <si>
    <t xml:space="preserve">Meridian Lift Group</t>
  </si>
  <si>
    <t xml:space="preserve">Nova Lift Charter</t>
  </si>
  <si>
    <t xml:space="preserve">FH.M97Z6</t>
  </si>
  <si>
    <t xml:space="preserve">Nova Air Medevac</t>
  </si>
  <si>
    <t xml:space="preserve">FH.VH7RY</t>
  </si>
  <si>
    <t xml:space="preserve">Pacific Lift Patrol</t>
  </si>
  <si>
    <t xml:space="preserve">FH.T23UE</t>
  </si>
  <si>
    <t xml:space="preserve">Nova Wings Logistics</t>
  </si>
  <si>
    <t xml:space="preserve">FH.EF6LJ</t>
  </si>
  <si>
    <t xml:space="preserve">Eagle Wings Logistics</t>
  </si>
  <si>
    <t xml:space="preserve">FB.G8BW7</t>
  </si>
  <si>
    <t xml:space="preserve">Condor Aviation Group</t>
  </si>
  <si>
    <t xml:space="preserve">FH.866LF</t>
  </si>
  <si>
    <t xml:space="preserve">Granite Aero Operations</t>
  </si>
  <si>
    <t xml:space="preserve">FH.JWMTW</t>
  </si>
  <si>
    <t xml:space="preserve">Condor Air Services</t>
  </si>
  <si>
    <t xml:space="preserve">FH.PSJ5T</t>
  </si>
  <si>
    <t xml:space="preserve">Condor Heli Operations</t>
  </si>
  <si>
    <t xml:space="preserve">FH.V88GJ</t>
  </si>
  <si>
    <t xml:space="preserve">Atlas Air Rescue</t>
  </si>
  <si>
    <t xml:space="preserve">FH.UEW23</t>
  </si>
  <si>
    <t xml:space="preserve">Crystal Flight Systems</t>
  </si>
  <si>
    <t xml:space="preserve">FH.F3NX2</t>
  </si>
  <si>
    <t xml:space="preserve">Coastal Air Patrol</t>
  </si>
  <si>
    <t xml:space="preserve">FH.KAGPG</t>
  </si>
  <si>
    <t xml:space="preserve">Titan Fleet Services</t>
  </si>
  <si>
    <t xml:space="preserve">FH.MJ5TG</t>
  </si>
  <si>
    <t xml:space="preserve">Alpine Rotor Partners (nouveau)</t>
  </si>
  <si>
    <t xml:space="preserve">FH.CCK8F</t>
  </si>
  <si>
    <t xml:space="preserve">Wind Sky Offshore</t>
  </si>
  <si>
    <t xml:space="preserve">FH.DFJDM</t>
  </si>
  <si>
    <t xml:space="preserve">Titan Air Offshore</t>
  </si>
  <si>
    <t xml:space="preserve">FH.KLBMA</t>
  </si>
  <si>
    <t xml:space="preserve">Ultra Wings Operations</t>
  </si>
  <si>
    <t xml:space="preserve">FH.7EJTT</t>
  </si>
  <si>
    <t xml:space="preserve">Atlas Lift Logistics</t>
  </si>
  <si>
    <t xml:space="preserve">FH.VB9L4</t>
  </si>
  <si>
    <t xml:space="preserve">Falcon Air Systems</t>
  </si>
  <si>
    <t xml:space="preserve">FH.6PAR6</t>
  </si>
  <si>
    <t xml:space="preserve">Ultra Flight Patrol</t>
  </si>
  <si>
    <t xml:space="preserve">Espagne</t>
  </si>
  <si>
    <t xml:space="preserve">FH.69BEJ</t>
  </si>
  <si>
    <t xml:space="preserve">Orion Flight Offshore</t>
  </si>
  <si>
    <t xml:space="preserve">FH.GMAHV</t>
  </si>
  <si>
    <t xml:space="preserve">Kestrel Air Systems</t>
  </si>
  <si>
    <t xml:space="preserve">FH.ULX2W</t>
  </si>
  <si>
    <t xml:space="preserve">Polar Aero Offshore</t>
  </si>
  <si>
    <t xml:space="preserve">FH.2MCPL</t>
  </si>
  <si>
    <t xml:space="preserve">Blue Lift Offshore</t>
  </si>
  <si>
    <t xml:space="preserve">FH.U9B38</t>
  </si>
  <si>
    <t xml:space="preserve">Kestrel Rotor Operations</t>
  </si>
  <si>
    <t xml:space="preserve">FH.SWD53</t>
  </si>
  <si>
    <t xml:space="preserve">Pacific Heli Charter</t>
  </si>
  <si>
    <t xml:space="preserve">FH.R2SJ8</t>
  </si>
  <si>
    <t xml:space="preserve">Titan Rotor Patrol</t>
  </si>
  <si>
    <t xml:space="preserve">FH.BF5KS</t>
  </si>
  <si>
    <t xml:space="preserve">Condor Flight Medevac</t>
  </si>
  <si>
    <t xml:space="preserve">FH.NBORJ</t>
  </si>
  <si>
    <t xml:space="preserve">Vector Sky Systems</t>
  </si>
  <si>
    <t xml:space="preserve">FH.U4NYC</t>
  </si>
  <si>
    <t xml:space="preserve">Vector Aero Rescue</t>
  </si>
  <si>
    <t xml:space="preserve">FH.V8EV7</t>
  </si>
  <si>
    <t xml:space="preserve">Zenith Lift Operations</t>
  </si>
  <si>
    <t xml:space="preserve">FH.BJZKM</t>
  </si>
  <si>
    <t xml:space="preserve">Ultra Lift Rescue</t>
  </si>
  <si>
    <t xml:space="preserve">FH.VZDFM</t>
  </si>
  <si>
    <t xml:space="preserve">Zenith Fleet Offshore</t>
  </si>
  <si>
    <t xml:space="preserve">FH.XNXNM</t>
  </si>
  <si>
    <t xml:space="preserve">Aurora Fleet Rescue</t>
  </si>
  <si>
    <t xml:space="preserve">FH.FJB5T</t>
  </si>
  <si>
    <t xml:space="preserve">Harbor Lift Systems</t>
  </si>
  <si>
    <t xml:space="preserve">FH.MD225</t>
  </si>
  <si>
    <t xml:space="preserve">Alpine Wings Systems</t>
  </si>
  <si>
    <t xml:space="preserve">FH.CRCPU</t>
  </si>
  <si>
    <t xml:space="preserve">Cedar Rotor Offshore</t>
  </si>
  <si>
    <t xml:space="preserve">FH.AAEDB</t>
  </si>
  <si>
    <t xml:space="preserve">Granite Aviation Services</t>
  </si>
  <si>
    <t xml:space="preserve">FH.AWXQK</t>
  </si>
  <si>
    <t xml:space="preserve">Aurora Sky Medevac</t>
  </si>
  <si>
    <t xml:space="preserve">FH.HP83H</t>
  </si>
  <si>
    <t xml:space="preserve">Kestrel Sky Logistics</t>
  </si>
  <si>
    <t xml:space="preserve">FH.LXGWK</t>
  </si>
  <si>
    <t xml:space="preserve">Crystal Wings Medevac</t>
  </si>
  <si>
    <t xml:space="preserve">FH.VYK2H</t>
  </si>
  <si>
    <t xml:space="preserve">Onyx Fleet Offshore</t>
  </si>
  <si>
    <t xml:space="preserve">Maroc</t>
  </si>
  <si>
    <t xml:space="preserve">FH.QAKXV</t>
  </si>
  <si>
    <t xml:space="preserve">Golden Flight Group</t>
  </si>
  <si>
    <t xml:space="preserve">FH.SF5Z5</t>
  </si>
  <si>
    <t xml:space="preserve">Meridian Fleet Operations</t>
  </si>
  <si>
    <t xml:space="preserve">FH.NJ6F8</t>
  </si>
  <si>
    <t xml:space="preserve">Ibex Sky Operations</t>
  </si>
  <si>
    <t xml:space="preserve">FH.X836Y</t>
  </si>
  <si>
    <t xml:space="preserve">Nova Flight Services</t>
  </si>
  <si>
    <t xml:space="preserve">FH.96N33</t>
  </si>
  <si>
    <t xml:space="preserve">Ultra Rotor Operations</t>
  </si>
  <si>
    <t xml:space="preserve">FH.XS4KC</t>
  </si>
  <si>
    <t xml:space="preserve">Zephyr Wings Services</t>
  </si>
  <si>
    <t xml:space="preserve">FH.4PSBY</t>
  </si>
  <si>
    <t xml:space="preserve">Ibex Flight Services</t>
  </si>
  <si>
    <t xml:space="preserve">FH.C64XR</t>
  </si>
  <si>
    <t xml:space="preserve">Nordic Aero Patrol</t>
  </si>
  <si>
    <t xml:space="preserve">FH.SR5QE</t>
  </si>
  <si>
    <t xml:space="preserve">Alpine Aero Systems</t>
  </si>
  <si>
    <t xml:space="preserve">FH.HTPWH</t>
  </si>
  <si>
    <t xml:space="preserve">Vector Aero Offshore</t>
  </si>
  <si>
    <t xml:space="preserve">FH.M67P4</t>
  </si>
  <si>
    <t xml:space="preserve">Crystal Wings Charter</t>
  </si>
  <si>
    <t xml:space="preserve">FH.AJ79Y</t>
  </si>
  <si>
    <t xml:space="preserve">Wind Heli Charter</t>
  </si>
  <si>
    <t xml:space="preserve">FH.9ANCV</t>
  </si>
  <si>
    <t xml:space="preserve">Ibex Sky Logistics</t>
  </si>
  <si>
    <t xml:space="preserve">FH.4FMTE</t>
  </si>
  <si>
    <t xml:space="preserve">Blue Sky Charter</t>
  </si>
  <si>
    <t xml:space="preserve">FH.MTW4W</t>
  </si>
  <si>
    <t xml:space="preserve">Quartz Heli Offshore</t>
  </si>
  <si>
    <t xml:space="preserve">FH.SGXWS</t>
  </si>
  <si>
    <t xml:space="preserve">Raven Wings Patrol</t>
  </si>
  <si>
    <t xml:space="preserve">FB.86BY7</t>
  </si>
  <si>
    <t xml:space="preserve">Boreal Wings Logistics</t>
  </si>
  <si>
    <t xml:space="preserve">FH.34LL7</t>
  </si>
  <si>
    <t xml:space="preserve">Vector Aero Patrol</t>
  </si>
  <si>
    <t xml:space="preserve">FH.HXUSV</t>
  </si>
  <si>
    <t xml:space="preserve">Summit Wings Systems</t>
  </si>
  <si>
    <t xml:space="preserve">FH.QDBC6</t>
  </si>
  <si>
    <t xml:space="preserve">Lynx Heli Logistics</t>
  </si>
  <si>
    <t xml:space="preserve">FH.E8EHL</t>
  </si>
  <si>
    <t xml:space="preserve">Sierra Flight Offshore</t>
  </si>
  <si>
    <t xml:space="preserve">FH.86G43</t>
  </si>
  <si>
    <t xml:space="preserve">Eagle Lift Services</t>
  </si>
  <si>
    <t xml:space="preserve">FH.C2ZZY</t>
  </si>
  <si>
    <t xml:space="preserve">Titan Fleet Logistics</t>
  </si>
  <si>
    <t xml:space="preserve">FH.M3FZ3</t>
  </si>
  <si>
    <t xml:space="preserve">Orion Wings Operations</t>
  </si>
  <si>
    <t xml:space="preserve">FH.JBB9D</t>
  </si>
  <si>
    <t xml:space="preserve">Ibex Lift Charter</t>
  </si>
  <si>
    <t xml:space="preserve">FH.EX4EA</t>
  </si>
  <si>
    <t xml:space="preserve">Atlas Rotor Charter</t>
  </si>
  <si>
    <t xml:space="preserve">FH.X9MLP</t>
  </si>
  <si>
    <t xml:space="preserve">Meridian Rotor Offshore</t>
  </si>
  <si>
    <t xml:space="preserve">FH.3FY9N</t>
  </si>
  <si>
    <t xml:space="preserve">Polar Heli Group</t>
  </si>
  <si>
    <t xml:space="preserve">FH.SV7E9</t>
  </si>
  <si>
    <t xml:space="preserve">Lynx Aero Offshore</t>
  </si>
  <si>
    <t xml:space="preserve">FH.GNK7W</t>
  </si>
  <si>
    <t xml:space="preserve">Atlas Sky Patrol</t>
  </si>
  <si>
    <t xml:space="preserve">FH.G2ECN</t>
  </si>
  <si>
    <t xml:space="preserve">Ultra Heli Operations</t>
  </si>
  <si>
    <t xml:space="preserve">FB.M2HKU</t>
  </si>
  <si>
    <t xml:space="preserve">Alpine Rotor Rescue</t>
  </si>
  <si>
    <t xml:space="preserve">FH.F2T37</t>
  </si>
  <si>
    <t xml:space="preserve">Polar Lift Rescue</t>
  </si>
  <si>
    <t xml:space="preserve">FH.DJRWW</t>
  </si>
  <si>
    <t xml:space="preserve">Harbor Flight Rescue</t>
  </si>
  <si>
    <t xml:space="preserve">FH.RWUHV</t>
  </si>
  <si>
    <t xml:space="preserve">Nova Flight Group</t>
  </si>
  <si>
    <t xml:space="preserve">FH.KNNWG</t>
  </si>
  <si>
    <t xml:space="preserve">Golden Fleet Logistics</t>
  </si>
  <si>
    <t xml:space="preserve">FH.5H472</t>
  </si>
  <si>
    <t xml:space="preserve">Jade Flight Rescue</t>
  </si>
  <si>
    <t xml:space="preserve">FH.LB68C</t>
  </si>
  <si>
    <t xml:space="preserve">Ibex Aero Charter</t>
  </si>
  <si>
    <t xml:space="preserve">FH.6ZNCC</t>
  </si>
  <si>
    <t xml:space="preserve">Delta Lift Medevac</t>
  </si>
  <si>
    <t xml:space="preserve"> FH.XKAUL </t>
  </si>
  <si>
    <t xml:space="preserve">Alpine Air Group</t>
  </si>
  <si>
    <t xml:space="preserve">FH.GAG6J</t>
  </si>
  <si>
    <t xml:space="preserve">Eagle Sky Systems</t>
  </si>
  <si>
    <t xml:space="preserve">FH.T8M87</t>
  </si>
  <si>
    <t xml:space="preserve">Coastal Aviation Logistics</t>
  </si>
  <si>
    <t xml:space="preserve">FH.UCZQ6</t>
  </si>
  <si>
    <t xml:space="preserve">Meridian Lift Systems</t>
  </si>
  <si>
    <t xml:space="preserve">FH.T66R9</t>
  </si>
  <si>
    <t xml:space="preserve">Raven Flight Systems</t>
  </si>
  <si>
    <t xml:space="preserve">Jade Lift Services</t>
  </si>
  <si>
    <t xml:space="preserve">FH.PZRVR</t>
  </si>
  <si>
    <t xml:space="preserve">Jade Fleet Logistics</t>
  </si>
  <si>
    <t xml:space="preserve">FH.NPN7U</t>
  </si>
  <si>
    <t xml:space="preserve">Cedar Wings Medevac</t>
  </si>
  <si>
    <t xml:space="preserve">FH.5MEBS</t>
  </si>
  <si>
    <t xml:space="preserve">Orion Aviation Rescue</t>
  </si>
  <si>
    <t xml:space="preserve">FH.RM9FK</t>
  </si>
  <si>
    <t xml:space="preserve">Pacific Heli Patrol</t>
  </si>
  <si>
    <t xml:space="preserve">FH.TBQVQ</t>
  </si>
  <si>
    <t xml:space="preserve">Harbor Sky Operations</t>
  </si>
  <si>
    <t xml:space="preserve">FH.9UUU2</t>
  </si>
  <si>
    <t xml:space="preserve">Orion Sky Operations</t>
  </si>
  <si>
    <t xml:space="preserve">FH.SH2YW</t>
  </si>
  <si>
    <t xml:space="preserve">Condor Sky Logistics</t>
  </si>
  <si>
    <t xml:space="preserve">FH.68M5M</t>
  </si>
  <si>
    <t xml:space="preserve">Granite Fleet Logistics</t>
  </si>
  <si>
    <t xml:space="preserve">FH.4FR8X</t>
  </si>
  <si>
    <t xml:space="preserve">Condor Wings Rescue</t>
  </si>
  <si>
    <t xml:space="preserve">FH.USS2X</t>
  </si>
  <si>
    <t xml:space="preserve">Zephyr Lift Charter</t>
  </si>
  <si>
    <t xml:space="preserve">FH.N4TCN</t>
  </si>
  <si>
    <t xml:space="preserve">Eagle Air Logistics</t>
  </si>
  <si>
    <t xml:space="preserve">FH.QF6X9</t>
  </si>
  <si>
    <t xml:space="preserve">Condor Air Operations</t>
  </si>
  <si>
    <t xml:space="preserve">FH.GE694</t>
  </si>
  <si>
    <t xml:space="preserve">Onyx Lift Logistics</t>
  </si>
  <si>
    <t xml:space="preserve">FH.5SQQP</t>
  </si>
  <si>
    <t xml:space="preserve">Cardinal Air Group</t>
  </si>
  <si>
    <t xml:space="preserve">FH.QNZSY</t>
  </si>
  <si>
    <t xml:space="preserve">Ultra Lift Group</t>
  </si>
  <si>
    <t xml:space="preserve">FH.ARX63</t>
  </si>
  <si>
    <t xml:space="preserve">Quartz Fleet Operations</t>
  </si>
  <si>
    <t xml:space="preserve">FH.929S3</t>
  </si>
  <si>
    <t xml:space="preserve">Boreal Lift Logistics</t>
  </si>
  <si>
    <t xml:space="preserve">FH.5STNN</t>
  </si>
  <si>
    <t xml:space="preserve">Orion Aviation Group</t>
  </si>
  <si>
    <t xml:space="preserve">FH.TGXU9</t>
  </si>
  <si>
    <t xml:space="preserve">Ultra Lift Logistics</t>
  </si>
  <si>
    <t xml:space="preserve">FH.H9RY9</t>
  </si>
  <si>
    <t xml:space="preserve">Alpine Wings Group</t>
  </si>
  <si>
    <t xml:space="preserve">FH.3Q99H</t>
  </si>
  <si>
    <t xml:space="preserve">Granite Rotor Offshore</t>
  </si>
  <si>
    <t xml:space="preserve">FH.8FCEA  </t>
  </si>
  <si>
    <t xml:space="preserve">Delta Aviation Rescue</t>
  </si>
  <si>
    <t xml:space="preserve">FH.CNXAX</t>
  </si>
  <si>
    <t xml:space="preserve">Orion Flight Systems</t>
  </si>
  <si>
    <t xml:space="preserve">FH.EDLYU</t>
  </si>
  <si>
    <t xml:space="preserve">Falcon Lift Services</t>
  </si>
  <si>
    <t xml:space="preserve">FH.PW7XC</t>
  </si>
  <si>
    <t xml:space="preserve">Titan Flight Group</t>
  </si>
  <si>
    <t xml:space="preserve">FH.J73CJ</t>
  </si>
  <si>
    <t xml:space="preserve">Meridian Lift Medevac</t>
  </si>
  <si>
    <t xml:space="preserve">FH.9MCR5</t>
  </si>
  <si>
    <t xml:space="preserve">Falcon Sky Rescue</t>
  </si>
  <si>
    <t xml:space="preserve">FH.73VD8</t>
  </si>
  <si>
    <t xml:space="preserve">Boreal Air Group</t>
  </si>
  <si>
    <t xml:space="preserve">FH.C85R5</t>
  </si>
  <si>
    <t xml:space="preserve">Solar Rotor Patrol</t>
  </si>
  <si>
    <t xml:space="preserve">FH.H775D</t>
  </si>
  <si>
    <t xml:space="preserve">Wind Aviation Logistics</t>
  </si>
  <si>
    <t xml:space="preserve">FH.HT9ZX</t>
  </si>
  <si>
    <t xml:space="preserve">Eagle Lift Medevac</t>
  </si>
  <si>
    <t xml:space="preserve">FH.8IJW6</t>
  </si>
  <si>
    <t xml:space="preserve">Titan Rotor Services</t>
  </si>
  <si>
    <t xml:space="preserve">FH.VPRE7</t>
  </si>
  <si>
    <t xml:space="preserve">Granite Sky Offshore</t>
  </si>
  <si>
    <t xml:space="preserve">FH.W9WZC</t>
  </si>
  <si>
    <t xml:space="preserve">Crystal Flight Services</t>
  </si>
  <si>
    <t xml:space="preserve">FH.QP26W </t>
  </si>
  <si>
    <t xml:space="preserve">Zenith Heli Medevac</t>
  </si>
  <si>
    <t xml:space="preserve">FH.QHHPE</t>
  </si>
  <si>
    <t xml:space="preserve">Zenith Wings Medevac</t>
  </si>
  <si>
    <t xml:space="preserve">FH.32BTD</t>
  </si>
  <si>
    <t xml:space="preserve">Boreal Sky Charter</t>
  </si>
  <si>
    <t xml:space="preserve">FH.XA9QM</t>
  </si>
  <si>
    <t xml:space="preserve">Alpine Heli Systems</t>
  </si>
  <si>
    <t xml:space="preserve">FH.WK5C5</t>
  </si>
  <si>
    <t xml:space="preserve">Alpine Wings Logistics</t>
  </si>
  <si>
    <t xml:space="preserve">FH.8B7US</t>
  </si>
  <si>
    <t xml:space="preserve">Zephyr Sky Logistics</t>
  </si>
  <si>
    <t xml:space="preserve">FH.RK2RN</t>
  </si>
  <si>
    <t xml:space="preserve">Pacific Rotor Group</t>
  </si>
  <si>
    <t xml:space="preserve">FH.EBYQX</t>
  </si>
  <si>
    <t xml:space="preserve">Alpine Flight Group</t>
  </si>
  <si>
    <t xml:space="preserve">Cedar Aviation Logistics</t>
  </si>
  <si>
    <t xml:space="preserve">FH.XB9DF</t>
  </si>
  <si>
    <t xml:space="preserve">Boreal Lift Operations</t>
  </si>
  <si>
    <t xml:space="preserve">FH.L287G</t>
  </si>
  <si>
    <t xml:space="preserve">Solar Wings Medevac</t>
  </si>
  <si>
    <t xml:space="preserve">Raven Rotor Rescue</t>
  </si>
  <si>
    <t xml:space="preserve">FH.ZHDD5</t>
  </si>
  <si>
    <t xml:space="preserve">Falcon Aviation Systems</t>
  </si>
  <si>
    <t xml:space="preserve">FH.RBVG5</t>
  </si>
  <si>
    <t xml:space="preserve">Cedar Aero Patrol</t>
  </si>
  <si>
    <t xml:space="preserve">FH.LVM8Q</t>
  </si>
  <si>
    <t xml:space="preserve">Falcon Lift Medevac</t>
  </si>
  <si>
    <t xml:space="preserve">FH.YV5BW</t>
  </si>
  <si>
    <t xml:space="preserve">Raven Flight Operations</t>
  </si>
  <si>
    <t xml:space="preserve">FH.H3SUY</t>
  </si>
  <si>
    <t xml:space="preserve">Atlas Aero Group</t>
  </si>
  <si>
    <t xml:space="preserve">FH.26UZ2</t>
  </si>
  <si>
    <t xml:space="preserve">Zenith Fleet Charter</t>
  </si>
  <si>
    <t xml:space="preserve">FH.54VFW</t>
  </si>
  <si>
    <t xml:space="preserve">Zephyr Heli Rescue</t>
  </si>
  <si>
    <t xml:space="preserve">FH.ENN9D</t>
  </si>
  <si>
    <t xml:space="preserve">Nordic Sky Charter</t>
  </si>
  <si>
    <t xml:space="preserve">FH.HZPMG</t>
  </si>
  <si>
    <t xml:space="preserve">Onyx Fleet Charter</t>
  </si>
  <si>
    <t xml:space="preserve">FH.HPMT2</t>
  </si>
  <si>
    <t xml:space="preserve">Titan Wings Operations</t>
  </si>
  <si>
    <t xml:space="preserve">FH.MUMH6</t>
  </si>
  <si>
    <t xml:space="preserve">Polar Fleet Services</t>
  </si>
  <si>
    <t xml:space="preserve">FH.XFPGU</t>
  </si>
  <si>
    <t xml:space="preserve">Condor Sky Operations</t>
  </si>
  <si>
    <t xml:space="preserve">FH.57JZ4</t>
  </si>
  <si>
    <t xml:space="preserve">Orion Heli Rescue</t>
  </si>
  <si>
    <t xml:space="preserve">FH.GB6WQ</t>
  </si>
  <si>
    <t xml:space="preserve">Zenith Fleet Systems</t>
  </si>
  <si>
    <t xml:space="preserve">FH.3HGSV</t>
  </si>
  <si>
    <t xml:space="preserve">Jade Air Operations</t>
  </si>
  <si>
    <t xml:space="preserve">FH.BZHVP</t>
  </si>
  <si>
    <t xml:space="preserve">Ibex Sky Charter</t>
  </si>
  <si>
    <t xml:space="preserve">FH.9NYRG</t>
  </si>
  <si>
    <t xml:space="preserve">Atlas Wings Logistics</t>
  </si>
  <si>
    <t xml:space="preserve">FH.SQWF6</t>
  </si>
  <si>
    <t xml:space="preserve">Wind Air Logistics</t>
  </si>
  <si>
    <t xml:space="preserve">FH.MBRRC</t>
  </si>
  <si>
    <t xml:space="preserve">Titan Aero Services</t>
  </si>
  <si>
    <t xml:space="preserve">FH.U4F8S</t>
  </si>
  <si>
    <t xml:space="preserve">Vista Flight Offshore</t>
  </si>
  <si>
    <t xml:space="preserve">FH.SQSVK</t>
  </si>
  <si>
    <t xml:space="preserve">Titan Wings Medevac</t>
  </si>
  <si>
    <t xml:space="preserve">FH.C8NBA</t>
  </si>
  <si>
    <t xml:space="preserve">Golden Rotor Group</t>
  </si>
  <si>
    <t xml:space="preserve">FH.NHMT9</t>
  </si>
  <si>
    <t xml:space="preserve">Meridian Air Charter</t>
  </si>
  <si>
    <t xml:space="preserve">FH.2NAVS</t>
  </si>
  <si>
    <t xml:space="preserve">Aurora Air Systems</t>
  </si>
  <si>
    <t xml:space="preserve">FH.MUVLH</t>
  </si>
  <si>
    <t xml:space="preserve">Aurora Aviation Patrol</t>
  </si>
  <si>
    <t xml:space="preserve">FH.JP3EQ</t>
  </si>
  <si>
    <t xml:space="preserve">Ultra Heli Systems</t>
  </si>
  <si>
    <t xml:space="preserve">FH.SHDCN</t>
  </si>
  <si>
    <t xml:space="preserve">Polar Aviation Offshore</t>
  </si>
  <si>
    <t xml:space="preserve">FH.Q3DZX</t>
  </si>
  <si>
    <t xml:space="preserve">Titan Rotor Offshore</t>
  </si>
  <si>
    <t xml:space="preserve">FH.G394K</t>
  </si>
  <si>
    <t xml:space="preserve">Alpine Aero Logistics</t>
  </si>
  <si>
    <t xml:space="preserve">FH.JRKYD</t>
  </si>
  <si>
    <t xml:space="preserve">Jade Heli Group</t>
  </si>
  <si>
    <t xml:space="preserve">FH.EPMA6</t>
  </si>
  <si>
    <t xml:space="preserve">Quartz Fleet Offshore</t>
  </si>
  <si>
    <t xml:space="preserve">FH.AAHYP</t>
  </si>
  <si>
    <t xml:space="preserve">Alpine Aviation Offshore</t>
  </si>
  <si>
    <t xml:space="preserve">FH.ENIAU</t>
  </si>
  <si>
    <t xml:space="preserve">Condor Fleet Group</t>
  </si>
  <si>
    <t xml:space="preserve">FH.X3TEC</t>
  </si>
  <si>
    <t xml:space="preserve">Kestrel Wings Charter</t>
  </si>
  <si>
    <t xml:space="preserve">FH.477CT</t>
  </si>
  <si>
    <t xml:space="preserve">Kestrel Aviation Patrol</t>
  </si>
  <si>
    <t xml:space="preserve">FH.AZZUN</t>
  </si>
  <si>
    <t xml:space="preserve">Cardinal Lift Logistics</t>
  </si>
  <si>
    <t xml:space="preserve">FH.HJYXC</t>
  </si>
  <si>
    <t xml:space="preserve">Kestrel Flight Medevac</t>
  </si>
  <si>
    <t xml:space="preserve">FH.VK3ZE</t>
  </si>
  <si>
    <t xml:space="preserve">Solar Lift Services</t>
  </si>
  <si>
    <t xml:space="preserve">FH.5VKW6</t>
  </si>
  <si>
    <t xml:space="preserve">Sierra Flight Group</t>
  </si>
  <si>
    <t xml:space="preserve">FH.7LJVW</t>
  </si>
  <si>
    <t xml:space="preserve">Cedar Rotor Charter</t>
  </si>
  <si>
    <t xml:space="preserve">FH.C5W5Q</t>
  </si>
  <si>
    <t xml:space="preserve">Aurora Sky Operations</t>
  </si>
  <si>
    <t xml:space="preserve">FH.NDXZK</t>
  </si>
  <si>
    <t xml:space="preserve">Delta Rotor Operations</t>
  </si>
  <si>
    <t xml:space="preserve">FH.SHPUH</t>
  </si>
  <si>
    <t xml:space="preserve">Nova Wings Rescue</t>
  </si>
  <si>
    <t xml:space="preserve">FH.K6ZWQ</t>
  </si>
  <si>
    <t xml:space="preserve">Falcon Air Patrol</t>
  </si>
  <si>
    <t xml:space="preserve">FH.VE6QY </t>
  </si>
  <si>
    <t xml:space="preserve">Horizon Aero Patrol</t>
  </si>
  <si>
    <t xml:space="preserve">FH.RJHC9</t>
  </si>
  <si>
    <t xml:space="preserve">Quartz Fleet Medevac</t>
  </si>
  <si>
    <t xml:space="preserve">FH.X5DR2</t>
  </si>
  <si>
    <t xml:space="preserve">Jade Aero Operations</t>
  </si>
  <si>
    <t xml:space="preserve">FH.OUB8S</t>
  </si>
  <si>
    <t xml:space="preserve">Polar Lift Logistics</t>
  </si>
  <si>
    <t xml:space="preserve">FH.SMPBU</t>
  </si>
  <si>
    <t xml:space="preserve">Cardinal Fleet Systems</t>
  </si>
  <si>
    <t xml:space="preserve">FH.FHRPG</t>
  </si>
  <si>
    <t xml:space="preserve">Aurora Air Logistics</t>
  </si>
  <si>
    <t xml:space="preserve">FH.Z64EJ</t>
  </si>
  <si>
    <t xml:space="preserve">Vector Lift Systems</t>
  </si>
  <si>
    <t xml:space="preserve">FH.6Y26H</t>
  </si>
  <si>
    <t xml:space="preserve">Horizon Sky Rescue</t>
  </si>
  <si>
    <t xml:space="preserve">FH.USXPF</t>
  </si>
  <si>
    <t xml:space="preserve">Horizon Flight Group</t>
  </si>
  <si>
    <t xml:space="preserve">FH.N6F59</t>
  </si>
  <si>
    <t xml:space="preserve">Blue Rotor Logistics</t>
  </si>
  <si>
    <t xml:space="preserve">FH.A3SPL</t>
  </si>
  <si>
    <t xml:space="preserve">Eagle Aviation Offshore</t>
  </si>
  <si>
    <t xml:space="preserve">FH.MF7MQ</t>
  </si>
  <si>
    <t xml:space="preserve">Titan Aero Systems</t>
  </si>
  <si>
    <t xml:space="preserve">FH.MCTYR</t>
  </si>
  <si>
    <t xml:space="preserve">Falcon Sky Services</t>
  </si>
  <si>
    <t xml:space="preserve">FH.SEX9D</t>
  </si>
  <si>
    <t xml:space="preserve">Condor Fleet Logistics</t>
  </si>
  <si>
    <t xml:space="preserve">FH.TEL9V</t>
  </si>
  <si>
    <t xml:space="preserve">Coastal Aero Charter</t>
  </si>
  <si>
    <t xml:space="preserve">FH.5W4FH</t>
  </si>
  <si>
    <t xml:space="preserve">Pacific Flight Patrol</t>
  </si>
  <si>
    <t xml:space="preserve">FH.BQC7T</t>
  </si>
  <si>
    <t xml:space="preserve">Coastal Air Offshore</t>
  </si>
  <si>
    <t xml:space="preserve">FH.SBAJV</t>
  </si>
  <si>
    <t xml:space="preserve">Granite Aviation Offshore</t>
  </si>
  <si>
    <t xml:space="preserve">FH.VJN85</t>
  </si>
  <si>
    <t xml:space="preserve">Zenith Aero Logistics</t>
  </si>
  <si>
    <t xml:space="preserve">FH.FGBAW</t>
  </si>
  <si>
    <t xml:space="preserve">Onyx Aero Services</t>
  </si>
  <si>
    <t xml:space="preserve">FH.F9DVN</t>
  </si>
  <si>
    <t xml:space="preserve">Nordic Aero Partners (nouveau)</t>
  </si>
  <si>
    <t xml:space="preserve">FH.TNUPF</t>
  </si>
  <si>
    <t xml:space="preserve">Delta Sky Patrol</t>
  </si>
  <si>
    <t xml:space="preserve">FH.BBMJL</t>
  </si>
  <si>
    <t xml:space="preserve">Crystal Sky Systems</t>
  </si>
  <si>
    <t xml:space="preserve">FH.7CBLJ</t>
  </si>
  <si>
    <t xml:space="preserve">Falcon Heli Medevac</t>
  </si>
  <si>
    <t xml:space="preserve">FH.FBH2M</t>
  </si>
  <si>
    <t xml:space="preserve">Condor Lift Rescue</t>
  </si>
  <si>
    <t xml:space="preserve">FH.FF98T</t>
  </si>
  <si>
    <t xml:space="preserve">Eagle Lift Patrol</t>
  </si>
  <si>
    <t xml:space="preserve">FH.F7CN4</t>
  </si>
  <si>
    <t xml:space="preserve">Golden Aero Operations</t>
  </si>
  <si>
    <t xml:space="preserve">FH.TAULT</t>
  </si>
  <si>
    <t xml:space="preserve">Condor Heli Logistics</t>
  </si>
  <si>
    <t xml:space="preserve">FH.QLXNX</t>
  </si>
  <si>
    <t xml:space="preserve">Raven Lift Offshore</t>
  </si>
  <si>
    <t xml:space="preserve">FH.N758R</t>
  </si>
  <si>
    <t xml:space="preserve">Quartz Lift Partners (nouveau)</t>
  </si>
  <si>
    <t xml:space="preserve">FH.M5R6X</t>
  </si>
  <si>
    <t xml:space="preserve">Raven Sky Offshore</t>
  </si>
  <si>
    <t xml:space="preserve">FB.Z5ZT9</t>
  </si>
  <si>
    <t xml:space="preserve">Vector Air Charter</t>
  </si>
  <si>
    <t xml:space="preserve">FH.ZGLML</t>
  </si>
  <si>
    <t xml:space="preserve">Horizon Aviation Logistics</t>
  </si>
  <si>
    <t xml:space="preserve">FH.PTQDL</t>
  </si>
  <si>
    <t xml:space="preserve">Blue Air Offshore</t>
  </si>
  <si>
    <t xml:space="preserve">​FH.3XPSQ</t>
  </si>
  <si>
    <t xml:space="preserve">Jade Lift Medevac</t>
  </si>
  <si>
    <t xml:space="preserve">FH.UWXOM</t>
  </si>
  <si>
    <t xml:space="preserve">Crystal Heli Systems</t>
  </si>
  <si>
    <t xml:space="preserve">FH.CT7XE</t>
  </si>
  <si>
    <t xml:space="preserve">Wind Heli Offshore</t>
  </si>
  <si>
    <t xml:space="preserve">FH.6WHHX</t>
  </si>
  <si>
    <t xml:space="preserve">Ultra Aviation Group</t>
  </si>
  <si>
    <t xml:space="preserve">Alpine Aero Group</t>
  </si>
  <si>
    <t xml:space="preserve">FH.LVPHV</t>
  </si>
  <si>
    <t xml:space="preserve">Ibex Lift Offshore</t>
  </si>
  <si>
    <t xml:space="preserve">FH.SDM38</t>
  </si>
  <si>
    <t xml:space="preserve">Falcon Lift Charter</t>
  </si>
  <si>
    <t xml:space="preserve">FH.63BCF</t>
  </si>
  <si>
    <t xml:space="preserve">Boreal Wings Rescue</t>
  </si>
  <si>
    <t xml:space="preserve">FH.PD5ZT</t>
  </si>
  <si>
    <t xml:space="preserve">Vector Aviation Offshore</t>
  </si>
  <si>
    <t xml:space="preserve">FH.8HQM6</t>
  </si>
  <si>
    <t xml:space="preserve">Blue Aviation Medevac</t>
  </si>
  <si>
    <t xml:space="preserve">Alpine Aero Patrol</t>
  </si>
  <si>
    <t xml:space="preserve">FH.7EBCH</t>
  </si>
  <si>
    <t xml:space="preserve">Zenith Heli Systems</t>
  </si>
  <si>
    <t xml:space="preserve">FH.DH328</t>
  </si>
  <si>
    <t xml:space="preserve">Vector Rotor Offshore</t>
  </si>
  <si>
    <t xml:space="preserve">Orion Lift Systems</t>
  </si>
  <si>
    <t xml:space="preserve">FH.T5M6M</t>
  </si>
  <si>
    <t xml:space="preserve">Solar Lift Patrol</t>
  </si>
  <si>
    <t xml:space="preserve">FH.YHCU8</t>
  </si>
  <si>
    <t xml:space="preserve">Aurora Lift Charter</t>
  </si>
  <si>
    <t xml:space="preserve">FH.CLJXY</t>
  </si>
  <si>
    <t xml:space="preserve">Raven Flight Group</t>
  </si>
  <si>
    <t xml:space="preserve">FH.C897X</t>
  </si>
  <si>
    <t xml:space="preserve">Zenith Rotor Services</t>
  </si>
  <si>
    <t xml:space="preserve">FH.APAAV</t>
  </si>
  <si>
    <t xml:space="preserve">Alpine Rotor Charter</t>
  </si>
  <si>
    <t xml:space="preserve">FH.H6V9J</t>
  </si>
  <si>
    <t xml:space="preserve">Ultra Wings Services</t>
  </si>
  <si>
    <t xml:space="preserve">FH.2G4MX</t>
  </si>
  <si>
    <t xml:space="preserve">Vector Wings Patrol</t>
  </si>
  <si>
    <t xml:space="preserve">FH.J9966</t>
  </si>
  <si>
    <t xml:space="preserve">Polar Flight Logistics</t>
  </si>
  <si>
    <t xml:space="preserve">FH.T4W3X</t>
  </si>
  <si>
    <t xml:space="preserve">Raven Air Logistics</t>
  </si>
  <si>
    <t xml:space="preserve">FH.DY9S9</t>
  </si>
  <si>
    <t xml:space="preserve">Polar Air Rescue</t>
  </si>
  <si>
    <t xml:space="preserve">FH.PE76T</t>
  </si>
  <si>
    <t xml:space="preserve">Ibex Sky Medevac</t>
  </si>
  <si>
    <t xml:space="preserve">FH.GMGNY</t>
  </si>
  <si>
    <t xml:space="preserve">Kestrel Aviation Systems</t>
  </si>
  <si>
    <t xml:space="preserve">FH.KKBUJ</t>
  </si>
  <si>
    <t xml:space="preserve">Golden Fleet Medevac</t>
  </si>
  <si>
    <t xml:space="preserve">FH.RZE4X</t>
  </si>
  <si>
    <t xml:space="preserve">Ultra Heli Logistics</t>
  </si>
  <si>
    <t xml:space="preserve">FH.V87BX</t>
  </si>
  <si>
    <t xml:space="preserve">Horizon Rotor Group</t>
  </si>
  <si>
    <t xml:space="preserve">FH.W9ECS</t>
  </si>
  <si>
    <t xml:space="preserve">Nordic Sky Rescue</t>
  </si>
  <si>
    <t xml:space="preserve">FH.5VC3L</t>
  </si>
  <si>
    <t xml:space="preserve">Lynx Heli Medevac</t>
  </si>
  <si>
    <t xml:space="preserve">FH.U3TKA</t>
  </si>
  <si>
    <t xml:space="preserve">Meridian Lift Offshore</t>
  </si>
  <si>
    <t xml:space="preserve">Eagle Aviation Operations</t>
  </si>
  <si>
    <t xml:space="preserve">Onyx Wings Medevac</t>
  </si>
  <si>
    <t xml:space="preserve">FH.RFNFN</t>
  </si>
  <si>
    <t xml:space="preserve">Delta Fleet Logistics</t>
  </si>
  <si>
    <t xml:space="preserve">FH.PZ9ZB</t>
  </si>
  <si>
    <t xml:space="preserve">Eagle Lift Logistics</t>
  </si>
  <si>
    <t xml:space="preserve">FH.YE4QZ</t>
  </si>
  <si>
    <t xml:space="preserve">Kestrel Heli Medevac</t>
  </si>
  <si>
    <t xml:space="preserve">fh.8zdul</t>
  </si>
  <si>
    <t xml:space="preserve">Falcon Rotor Operations</t>
  </si>
  <si>
    <t xml:space="preserve">FH.RJSXG</t>
  </si>
  <si>
    <t xml:space="preserve">Coastal Rotor Patrol</t>
  </si>
  <si>
    <t xml:space="preserve">FH.LLY57</t>
  </si>
  <si>
    <t xml:space="preserve">Polar Rotor Group</t>
  </si>
  <si>
    <t xml:space="preserve">FH.U9DL5</t>
  </si>
  <si>
    <t xml:space="preserve">Nordic Air Medevac</t>
  </si>
  <si>
    <t xml:space="preserve">FH.8NE5T</t>
  </si>
  <si>
    <t xml:space="preserve">Summit Aero Patrol</t>
  </si>
  <si>
    <t xml:space="preserve">FH.Q7BZC</t>
  </si>
  <si>
    <t xml:space="preserve">Vista Aviation Patrol</t>
  </si>
  <si>
    <t xml:space="preserve">FH.5BBKM</t>
  </si>
  <si>
    <t xml:space="preserve">Horizon Rotor Systems</t>
  </si>
  <si>
    <t xml:space="preserve">FH.JXGCD</t>
  </si>
  <si>
    <t xml:space="preserve">Raven Air Rescue</t>
  </si>
  <si>
    <t xml:space="preserve">FH.GE5U6</t>
  </si>
  <si>
    <t xml:space="preserve">Blue Air Rescue</t>
  </si>
  <si>
    <t xml:space="preserve">FH.EP4KU</t>
  </si>
  <si>
    <t xml:space="preserve">Kestrel Heli Services</t>
  </si>
  <si>
    <t xml:space="preserve">FH.VTE5E</t>
  </si>
  <si>
    <t xml:space="preserve">Solar Aero Medevac</t>
  </si>
  <si>
    <t xml:space="preserve">FH.CLEDU</t>
  </si>
  <si>
    <t xml:space="preserve">Cedar Heli Offshore</t>
  </si>
  <si>
    <t xml:space="preserve">FH.55LAL</t>
  </si>
  <si>
    <t xml:space="preserve">Coastal Flight Medevac</t>
  </si>
  <si>
    <t xml:space="preserve">FH.6CVYS</t>
  </si>
  <si>
    <t xml:space="preserve">Raven Fleet Patrol</t>
  </si>
  <si>
    <t xml:space="preserve">FH.G9L3F</t>
  </si>
  <si>
    <t xml:space="preserve">Polar Aviation Logistics</t>
  </si>
  <si>
    <t xml:space="preserve">FH.ERVLB</t>
  </si>
  <si>
    <t xml:space="preserve">Wind Flight Services</t>
  </si>
  <si>
    <t xml:space="preserve">FH.N77Z8</t>
  </si>
  <si>
    <t xml:space="preserve">Nova Sky Group</t>
  </si>
  <si>
    <t xml:space="preserve">Solar Air Logistics</t>
  </si>
  <si>
    <t xml:space="preserve">FH.H9EVG</t>
  </si>
  <si>
    <t xml:space="preserve">Nova Rotor Logistics</t>
  </si>
  <si>
    <t xml:space="preserve">FH.GTBP8</t>
  </si>
  <si>
    <t xml:space="preserve">Aurora Sky Rescue</t>
  </si>
  <si>
    <t xml:space="preserve">FH.WUKSJ</t>
  </si>
  <si>
    <t xml:space="preserve">Horizon Fleet Medevac</t>
  </si>
  <si>
    <t xml:space="preserve">FH.YT835</t>
  </si>
  <si>
    <t xml:space="preserve">Atlas Wings Patrol</t>
  </si>
  <si>
    <t xml:space="preserve">FH.XSCLQ</t>
  </si>
  <si>
    <t xml:space="preserve">Wind Wings Offshore</t>
  </si>
  <si>
    <t xml:space="preserve">FH.7DGQQ</t>
  </si>
  <si>
    <t xml:space="preserve">Delta Lift Group</t>
  </si>
  <si>
    <t xml:space="preserve">FH.9K2ER</t>
  </si>
  <si>
    <t xml:space="preserve">Ultra Flight Medevac</t>
  </si>
  <si>
    <t xml:space="preserve">FH.SKRBM</t>
  </si>
  <si>
    <t xml:space="preserve">Cedar Rotor Rescue</t>
  </si>
  <si>
    <t xml:space="preserve">FH.GTZRG</t>
  </si>
  <si>
    <t xml:space="preserve">Nova Aviation Logistics</t>
  </si>
  <si>
    <t xml:space="preserve">FH.XCFSS</t>
  </si>
  <si>
    <t xml:space="preserve">Horizon Lift Logistics</t>
  </si>
  <si>
    <t xml:space="preserve">FH.QR53Y</t>
  </si>
  <si>
    <t xml:space="preserve">Granite Flight Operations</t>
  </si>
  <si>
    <t xml:space="preserve">FH.5CSBN</t>
  </si>
  <si>
    <t xml:space="preserve">Coastal Wings Offshore</t>
  </si>
  <si>
    <t xml:space="preserve">FH.MYALG</t>
  </si>
  <si>
    <t xml:space="preserve">Atlas Air Logistics</t>
  </si>
  <si>
    <t xml:space="preserve">FH.FPKTP</t>
  </si>
  <si>
    <t xml:space="preserve">Lynx Rotor Services</t>
  </si>
  <si>
    <t xml:space="preserve">FH.49AEH</t>
  </si>
  <si>
    <t xml:space="preserve">Meridian Heli Charter</t>
  </si>
  <si>
    <t xml:space="preserve">FH.96YHY</t>
  </si>
  <si>
    <t xml:space="preserve">Golden Sky Services</t>
  </si>
  <si>
    <t xml:space="preserve">FH.2P979</t>
  </si>
  <si>
    <t xml:space="preserve">Cedar Aero Charter</t>
  </si>
  <si>
    <t xml:space="preserve">FH.UAZVL</t>
  </si>
  <si>
    <t xml:space="preserve">Cedar Air Patrol</t>
  </si>
  <si>
    <t xml:space="preserve">Golden Wings Group</t>
  </si>
  <si>
    <t xml:space="preserve">FH.TW4TK</t>
  </si>
  <si>
    <t xml:space="preserve">Zenith Lift Offshore</t>
  </si>
  <si>
    <t xml:space="preserve">FH.FWZNL</t>
  </si>
  <si>
    <t xml:space="preserve">Harbor Rotor Charter</t>
  </si>
  <si>
    <t xml:space="preserve">FH.V82SL</t>
  </si>
  <si>
    <t xml:space="preserve">Cardinal Wings Logistics</t>
  </si>
  <si>
    <t xml:space="preserve">FH.J42A8</t>
  </si>
  <si>
    <t xml:space="preserve">Meridian Aero Charter</t>
  </si>
  <si>
    <t xml:space="preserve">FH.3Z7A4</t>
  </si>
  <si>
    <t xml:space="preserve">Raven Fleet Offshore</t>
  </si>
  <si>
    <t xml:space="preserve">FH.FH49J</t>
  </si>
  <si>
    <t xml:space="preserve">Vector Rotor Logistics</t>
  </si>
  <si>
    <t xml:space="preserve">FH.M3XRY</t>
  </si>
  <si>
    <t xml:space="preserve">Kestrel Rotor Logistics</t>
  </si>
  <si>
    <t xml:space="preserve">FH.5358E</t>
  </si>
  <si>
    <t xml:space="preserve">Harbor Aero Charter</t>
  </si>
  <si>
    <t xml:space="preserve">FH.D9XNE</t>
  </si>
  <si>
    <t xml:space="preserve">Zenith Aero Charter</t>
  </si>
  <si>
    <t xml:space="preserve">FH.9VXSJ</t>
  </si>
  <si>
    <t xml:space="preserve">Nordic Fleet Logistics</t>
  </si>
  <si>
    <t xml:space="preserve">FH.EGA9B </t>
  </si>
  <si>
    <t xml:space="preserve">Lynx Heli Charter</t>
  </si>
  <si>
    <t xml:space="preserve">FH.UD9TG</t>
  </si>
  <si>
    <t xml:space="preserve">Vista Sky Charter</t>
  </si>
  <si>
    <t xml:space="preserve">FH.C8XGL</t>
  </si>
  <si>
    <t xml:space="preserve">Zephyr Flight Charter</t>
  </si>
  <si>
    <t xml:space="preserve">FH.HJMMP</t>
  </si>
  <si>
    <t xml:space="preserve">Zephyr Rotor Operations</t>
  </si>
  <si>
    <t xml:space="preserve">FH.AK5TT</t>
  </si>
  <si>
    <t xml:space="preserve">Sierra Air Group</t>
  </si>
  <si>
    <t xml:space="preserve">FH.RJ8G2</t>
  </si>
  <si>
    <t xml:space="preserve">Granite Lift Patrol</t>
  </si>
  <si>
    <t xml:space="preserve">FH.7YW9X</t>
  </si>
  <si>
    <t xml:space="preserve">Kestrel Sky Systems</t>
  </si>
  <si>
    <t xml:space="preserve">FH.VYACS</t>
  </si>
  <si>
    <t xml:space="preserve">Zenith Heli Charter</t>
  </si>
  <si>
    <t xml:space="preserve">FH.G8UAZ</t>
  </si>
  <si>
    <t xml:space="preserve">Harbor Aero Medevac</t>
  </si>
  <si>
    <t xml:space="preserve">FH.AEEUZ</t>
  </si>
  <si>
    <t xml:space="preserve">Horizon Heli Offshore</t>
  </si>
  <si>
    <t xml:space="preserve">FH.WSCGW</t>
  </si>
  <si>
    <t xml:space="preserve">Meridian Flight Medevac</t>
  </si>
  <si>
    <t xml:space="preserve">FH.DRWMU</t>
  </si>
  <si>
    <t xml:space="preserve">Falcon Aviation Medevac</t>
  </si>
  <si>
    <t xml:space="preserve">FH.XREVM</t>
  </si>
  <si>
    <t xml:space="preserve">Granite Sky Rescue</t>
  </si>
  <si>
    <t xml:space="preserve">FH.AKYLG</t>
  </si>
  <si>
    <t xml:space="preserve">Sierra Lift Services</t>
  </si>
  <si>
    <t xml:space="preserve">FH.36JYM</t>
  </si>
  <si>
    <t xml:space="preserve">Jade Fleet Charter</t>
  </si>
  <si>
    <t xml:space="preserve">FH.HAHPR</t>
  </si>
  <si>
    <t xml:space="preserve">Alpine Aviation Rescue</t>
  </si>
  <si>
    <t xml:space="preserve">FH.MG5HE</t>
  </si>
  <si>
    <t xml:space="preserve">Delta Sky Group</t>
  </si>
  <si>
    <t xml:space="preserve">FH.TTWL9</t>
  </si>
  <si>
    <t xml:space="preserve">Delta Air Operations</t>
  </si>
  <si>
    <t xml:space="preserve">FH.4R7SX</t>
  </si>
  <si>
    <t xml:space="preserve">Horizon Aero Rescue</t>
  </si>
  <si>
    <t xml:space="preserve">FH.6SWJ5</t>
  </si>
  <si>
    <t xml:space="preserve">Ultra Air Rescue</t>
  </si>
  <si>
    <t xml:space="preserve">FH.4C5ZU</t>
  </si>
  <si>
    <t xml:space="preserve">Wind Fleet Patrol</t>
  </si>
  <si>
    <t xml:space="preserve">FH.62N3E</t>
  </si>
  <si>
    <t xml:space="preserve">Zenith Sky Medevac</t>
  </si>
  <si>
    <t xml:space="preserve">FH.4ATPH</t>
  </si>
  <si>
    <t xml:space="preserve">Golden Flight Rescue</t>
  </si>
  <si>
    <t xml:space="preserve">FH.2YF4V</t>
  </si>
  <si>
    <t xml:space="preserve">Orion Aero Operations</t>
  </si>
  <si>
    <t xml:space="preserve">FH.7NSFJ</t>
  </si>
  <si>
    <t xml:space="preserve">Pacific Aviation Operations</t>
  </si>
  <si>
    <t xml:space="preserve">FH.TQB9T</t>
  </si>
  <si>
    <t xml:space="preserve">Meridian Aero Offshore</t>
  </si>
  <si>
    <t xml:space="preserve">FH.B7TWH</t>
  </si>
  <si>
    <t xml:space="preserve">Sierra Sky Offshore</t>
  </si>
  <si>
    <t xml:space="preserve">FH.4E7KY</t>
  </si>
  <si>
    <t xml:space="preserve">Ibex Sky Services</t>
  </si>
  <si>
    <t xml:space="preserve">FH.PUJ9X</t>
  </si>
  <si>
    <t xml:space="preserve">Orion Rotor Systems</t>
  </si>
  <si>
    <t xml:space="preserve">FH.RMX8W</t>
  </si>
  <si>
    <t xml:space="preserve">Zenith Sky Group</t>
  </si>
  <si>
    <t xml:space="preserve">FH.USU3V</t>
  </si>
  <si>
    <t xml:space="preserve">Granite Heli Offshore</t>
  </si>
  <si>
    <t xml:space="preserve">FH.FHAB9</t>
  </si>
  <si>
    <t xml:space="preserve">Wind Flight Rescue</t>
  </si>
  <si>
    <t xml:space="preserve">FH.M2Z5N</t>
  </si>
  <si>
    <t xml:space="preserve">Cardinal Heli Patrol</t>
  </si>
  <si>
    <t xml:space="preserve">FH.QXK6X</t>
  </si>
  <si>
    <t xml:space="preserve">Quartz Air Patrol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</si>
</sst>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€&quot;"/>
    <numFmt numFmtId="166" formatCode="#,##0"/>
    <numFmt numFmtId="167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888888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A5C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2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" min="5" style="0" width="20"/>
    <col collapsed="false" customWidth="true" hidden="false" outlineLevel="0" max="8" min="6" style="0" width="18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4"/>
      <c r="C5" s="4"/>
      <c r="D5" s="4"/>
      <c r="E5" s="4"/>
      <c r="F5" s="5" t="n">
        <f aca="false">SUM(F20:F417)</f>
        <v>1543974476.19</v>
      </c>
    </row>
    <row r="6" customFormat="false" ht="15" hidden="false" customHeight="false" outlineLevel="0" collapsed="false">
      <c r="A6" s="4" t="s">
        <v>4</v>
      </c>
      <c r="B6" s="4"/>
      <c r="C6" s="4"/>
      <c r="D6" s="4"/>
      <c r="E6" s="4"/>
      <c r="F6" s="5" t="n">
        <f aca="false">SUM(G20:G417)</f>
        <v>1491446660.64</v>
      </c>
    </row>
    <row r="7" customFormat="false" ht="15" hidden="false" customHeight="false" outlineLevel="0" collapsed="false">
      <c r="A7" s="4" t="s">
        <v>5</v>
      </c>
      <c r="B7" s="4"/>
      <c r="C7" s="4"/>
      <c r="D7" s="4"/>
      <c r="E7" s="4"/>
      <c r="F7" s="5" t="n">
        <f aca="false">SUM(H20:H417)</f>
        <v>1112197095.4</v>
      </c>
    </row>
    <row r="8" customFormat="false" ht="15" hidden="false" customHeight="false" outlineLevel="0" collapsed="false">
      <c r="A8" s="4" t="s">
        <v>6</v>
      </c>
      <c r="B8" s="4"/>
      <c r="C8" s="4"/>
      <c r="D8" s="4"/>
      <c r="E8" s="4"/>
      <c r="F8" s="6" t="n">
        <f aca="false">SUM(I20:I417)</f>
        <v>1776837</v>
      </c>
    </row>
    <row r="10" customFormat="false" ht="15" hidden="false" customHeight="false" outlineLevel="0" collapsed="false">
      <c r="A10" s="4" t="s">
        <v>7</v>
      </c>
      <c r="B10" s="4"/>
      <c r="C10" s="4"/>
      <c r="D10" s="4"/>
      <c r="E10" s="4"/>
      <c r="F10" s="7" t="n">
        <f aca="false">COUNTA(C20:C417)</f>
        <v>398</v>
      </c>
    </row>
    <row r="12" customFormat="false" ht="15" hidden="false" customHeight="false" outlineLevel="0" collapsed="false">
      <c r="A12" s="3" t="s">
        <v>8</v>
      </c>
      <c r="B12" s="3"/>
      <c r="C12" s="3"/>
      <c r="D12" s="3"/>
      <c r="E12" s="3"/>
    </row>
    <row r="13" customFormat="false" ht="15" hidden="false" customHeight="false" outlineLevel="0" collapsed="false">
      <c r="A13" s="4" t="s">
        <v>9</v>
      </c>
      <c r="B13" s="4"/>
      <c r="C13" s="4"/>
      <c r="D13" s="4"/>
      <c r="E13" s="4"/>
      <c r="F13" s="8" t="n">
        <f aca="false">SUMIFS(F20:F417,D20:D417,"Europe")</f>
        <v>363661478.55</v>
      </c>
    </row>
    <row r="14" customFormat="false" ht="15" hidden="false" customHeight="false" outlineLevel="0" collapsed="false">
      <c r="A14" s="4" t="s">
        <v>10</v>
      </c>
      <c r="B14" s="4"/>
      <c r="C14" s="4"/>
      <c r="D14" s="4"/>
      <c r="E14" s="4"/>
      <c r="F14" s="8" t="n">
        <f aca="false">SUMIFS(F20:F417,D20:D417,"NORAM")</f>
        <v>300830300.64</v>
      </c>
    </row>
    <row r="15" customFormat="false" ht="15" hidden="false" customHeight="false" outlineLevel="0" collapsed="false">
      <c r="A15" s="4" t="s">
        <v>11</v>
      </c>
      <c r="B15" s="4"/>
      <c r="C15" s="4"/>
      <c r="D15" s="4"/>
      <c r="E15" s="4"/>
      <c r="F15" s="8" t="n">
        <f aca="false">SUMIFS(F20:F417,D20:D417,"LATAM")</f>
        <v>333842583.01</v>
      </c>
    </row>
    <row r="16" customFormat="false" ht="15" hidden="false" customHeight="false" outlineLevel="0" collapsed="false">
      <c r="A16" s="4" t="s">
        <v>12</v>
      </c>
      <c r="B16" s="4"/>
      <c r="C16" s="4"/>
      <c r="D16" s="4"/>
      <c r="E16" s="4"/>
      <c r="F16" s="8" t="n">
        <f aca="false">SUMIFS(F20:F417,D20:D417,"APAC")</f>
        <v>274565003.11</v>
      </c>
    </row>
    <row r="17" customFormat="false" ht="15" hidden="false" customHeight="false" outlineLevel="0" collapsed="false">
      <c r="A17" s="4" t="s">
        <v>13</v>
      </c>
      <c r="B17" s="4"/>
      <c r="C17" s="4"/>
      <c r="D17" s="4"/>
      <c r="E17" s="4"/>
      <c r="F17" s="8" t="n">
        <f aca="false">SUMIFS(F20:F417,D20:D417,"AFME")</f>
        <v>271075110.88</v>
      </c>
    </row>
    <row r="19" customFormat="false" ht="15" hidden="false" customHeight="false" outlineLevel="0" collapsed="false">
      <c r="A19" s="9" t="s">
        <v>14</v>
      </c>
      <c r="B19" s="9" t="s">
        <v>15</v>
      </c>
      <c r="C19" s="9" t="s">
        <v>16</v>
      </c>
      <c r="D19" s="9" t="s">
        <v>17</v>
      </c>
      <c r="E19" s="9" t="s">
        <v>18</v>
      </c>
      <c r="F19" s="9" t="s">
        <v>3</v>
      </c>
      <c r="G19" s="9" t="s">
        <v>4</v>
      </c>
      <c r="H19" s="9" t="s">
        <v>5</v>
      </c>
      <c r="I19" s="9" t="s">
        <v>6</v>
      </c>
    </row>
    <row r="20" customFormat="false" ht="15" hidden="false" customHeight="false" outlineLevel="0" collapsed="false">
      <c r="A20" s="10" t="s">
        <v>19</v>
      </c>
      <c r="B20" s="10" t="s">
        <v>20</v>
      </c>
      <c r="C20" s="10" t="s">
        <v>21</v>
      </c>
      <c r="D20" s="10" t="s">
        <v>13</v>
      </c>
      <c r="E20" s="10" t="s">
        <v>22</v>
      </c>
      <c r="F20" s="11" t="n">
        <v>2359949.76</v>
      </c>
      <c r="G20" s="11" t="n">
        <v>2211892.02</v>
      </c>
      <c r="H20" s="11" t="n">
        <v>1734712.28</v>
      </c>
      <c r="I20" s="12" t="n">
        <v>6945</v>
      </c>
    </row>
    <row r="21" customFormat="false" ht="15" hidden="false" customHeight="false" outlineLevel="0" collapsed="false">
      <c r="A21" s="10" t="s">
        <v>23</v>
      </c>
      <c r="B21" s="10" t="s">
        <v>24</v>
      </c>
      <c r="C21" s="10" t="s">
        <v>25</v>
      </c>
      <c r="D21" s="10" t="s">
        <v>9</v>
      </c>
      <c r="E21" s="10" t="s">
        <v>26</v>
      </c>
      <c r="F21" s="11" t="n">
        <v>937309.77</v>
      </c>
      <c r="G21" s="11" t="n">
        <v>899284.58</v>
      </c>
      <c r="H21" s="11" t="n">
        <v>676113.2</v>
      </c>
      <c r="I21" s="12" t="n">
        <v>6398</v>
      </c>
    </row>
    <row r="22" customFormat="false" ht="15" hidden="false" customHeight="false" outlineLevel="0" collapsed="false">
      <c r="A22" s="10" t="s">
        <v>27</v>
      </c>
      <c r="B22" s="10" t="s">
        <v>28</v>
      </c>
      <c r="C22" s="10" t="s">
        <v>29</v>
      </c>
      <c r="D22" s="10" t="s">
        <v>10</v>
      </c>
      <c r="E22" s="10" t="s">
        <v>30</v>
      </c>
      <c r="F22" s="11" t="n">
        <v>7280172.93</v>
      </c>
      <c r="G22" s="11" t="n">
        <v>6803752.45</v>
      </c>
      <c r="H22" s="11" t="n">
        <v>5221854.31</v>
      </c>
      <c r="I22" s="12" t="n">
        <v>4687</v>
      </c>
    </row>
    <row r="23" customFormat="false" ht="15" hidden="false" customHeight="false" outlineLevel="0" collapsed="false">
      <c r="A23" s="10" t="s">
        <v>31</v>
      </c>
      <c r="B23" s="10" t="s">
        <v>32</v>
      </c>
      <c r="C23" s="10" t="s">
        <v>29</v>
      </c>
      <c r="D23" s="10" t="s">
        <v>10</v>
      </c>
      <c r="E23" s="10" t="s">
        <v>33</v>
      </c>
      <c r="F23" s="11" t="n">
        <v>6568758.85</v>
      </c>
      <c r="G23" s="11" t="n">
        <v>6173109.49</v>
      </c>
      <c r="H23" s="11" t="n">
        <v>4511848.72</v>
      </c>
      <c r="I23" s="12" t="n">
        <v>4381</v>
      </c>
    </row>
    <row r="24" customFormat="false" ht="15" hidden="false" customHeight="false" outlineLevel="0" collapsed="false">
      <c r="A24" s="10" t="s">
        <v>34</v>
      </c>
      <c r="B24" s="10" t="s">
        <v>35</v>
      </c>
      <c r="C24" s="10" t="s">
        <v>29</v>
      </c>
      <c r="D24" s="10" t="s">
        <v>12</v>
      </c>
      <c r="E24" s="10" t="s">
        <v>36</v>
      </c>
      <c r="F24" s="11" t="n">
        <v>1096068.26</v>
      </c>
      <c r="G24" s="11" t="n">
        <v>1093827.1</v>
      </c>
      <c r="H24" s="11" t="n">
        <v>799558.66</v>
      </c>
      <c r="I24" s="12" t="n">
        <v>8132</v>
      </c>
    </row>
    <row r="25" customFormat="false" ht="15" hidden="false" customHeight="false" outlineLevel="0" collapsed="false">
      <c r="A25" s="10" t="s">
        <v>37</v>
      </c>
      <c r="B25" s="10" t="s">
        <v>38</v>
      </c>
      <c r="C25" s="10" t="s">
        <v>21</v>
      </c>
      <c r="D25" s="10" t="s">
        <v>11</v>
      </c>
      <c r="E25" s="10" t="s">
        <v>39</v>
      </c>
      <c r="F25" s="11" t="n">
        <v>5068791.69</v>
      </c>
      <c r="G25" s="11" t="n">
        <v>4733684.55</v>
      </c>
      <c r="H25" s="11" t="n">
        <v>4173267.45</v>
      </c>
      <c r="I25" s="12" t="n">
        <v>675</v>
      </c>
    </row>
    <row r="26" customFormat="false" ht="15" hidden="false" customHeight="false" outlineLevel="0" collapsed="false">
      <c r="A26" s="10" t="s">
        <v>40</v>
      </c>
      <c r="B26" s="10" t="s">
        <v>41</v>
      </c>
      <c r="C26" s="10" t="s">
        <v>25</v>
      </c>
      <c r="D26" s="10" t="s">
        <v>11</v>
      </c>
      <c r="E26" s="10" t="s">
        <v>39</v>
      </c>
      <c r="F26" s="11" t="n">
        <v>3934293.95</v>
      </c>
      <c r="G26" s="11" t="n">
        <v>3884933.65</v>
      </c>
      <c r="H26" s="11" t="n">
        <v>2881889.17</v>
      </c>
      <c r="I26" s="12" t="n">
        <v>4954</v>
      </c>
    </row>
    <row r="27" customFormat="false" ht="15" hidden="false" customHeight="false" outlineLevel="0" collapsed="false">
      <c r="A27" s="10" t="s">
        <v>42</v>
      </c>
      <c r="B27" s="10" t="s">
        <v>43</v>
      </c>
      <c r="C27" s="10" t="s">
        <v>21</v>
      </c>
      <c r="D27" s="10" t="s">
        <v>13</v>
      </c>
      <c r="E27" s="10" t="s">
        <v>44</v>
      </c>
      <c r="F27" s="11" t="n">
        <v>5558993.2</v>
      </c>
      <c r="G27" s="11" t="n">
        <v>5497501.5</v>
      </c>
      <c r="H27" s="11" t="n">
        <v>3772636.54</v>
      </c>
      <c r="I27" s="12" t="n">
        <v>8230</v>
      </c>
    </row>
    <row r="28" customFormat="false" ht="15" hidden="false" customHeight="false" outlineLevel="0" collapsed="false">
      <c r="A28" s="10" t="s">
        <v>45</v>
      </c>
      <c r="B28" s="10" t="s">
        <v>46</v>
      </c>
      <c r="C28" s="10" t="s">
        <v>21</v>
      </c>
      <c r="D28" s="10" t="s">
        <v>9</v>
      </c>
      <c r="E28" s="10" t="s">
        <v>47</v>
      </c>
      <c r="F28" s="11" t="n">
        <v>4590897.27</v>
      </c>
      <c r="G28" s="11" t="n">
        <v>4433928.78</v>
      </c>
      <c r="H28" s="11" t="n">
        <v>3686578.09</v>
      </c>
      <c r="I28" s="12" t="n">
        <v>1643</v>
      </c>
    </row>
    <row r="29" customFormat="false" ht="15" hidden="false" customHeight="false" outlineLevel="0" collapsed="false">
      <c r="A29" s="10" t="s">
        <v>48</v>
      </c>
      <c r="B29" s="10" t="s">
        <v>49</v>
      </c>
      <c r="C29" s="10" t="s">
        <v>29</v>
      </c>
      <c r="D29" s="10" t="s">
        <v>13</v>
      </c>
      <c r="E29" s="10" t="s">
        <v>44</v>
      </c>
      <c r="F29" s="11" t="n">
        <v>2486291.64</v>
      </c>
      <c r="G29" s="11" t="n">
        <v>2429955.82</v>
      </c>
      <c r="H29" s="11" t="n">
        <v>1884864.51</v>
      </c>
      <c r="I29" s="12" t="n">
        <v>5578</v>
      </c>
    </row>
    <row r="30" customFormat="false" ht="15" hidden="false" customHeight="false" outlineLevel="0" collapsed="false">
      <c r="A30" s="10" t="s">
        <v>50</v>
      </c>
      <c r="B30" s="10" t="s">
        <v>51</v>
      </c>
      <c r="C30" s="10" t="s">
        <v>21</v>
      </c>
      <c r="D30" s="10" t="s">
        <v>9</v>
      </c>
      <c r="E30" s="10" t="s">
        <v>52</v>
      </c>
      <c r="F30" s="11" t="n">
        <v>4661018.1</v>
      </c>
      <c r="G30" s="11" t="n">
        <v>4438402.63</v>
      </c>
      <c r="H30" s="11" t="n">
        <v>3469910.41</v>
      </c>
      <c r="I30" s="12" t="n">
        <v>3825</v>
      </c>
    </row>
    <row r="31" customFormat="false" ht="15" hidden="false" customHeight="false" outlineLevel="0" collapsed="false">
      <c r="A31" s="10" t="s">
        <v>53</v>
      </c>
      <c r="B31" s="10" t="s">
        <v>54</v>
      </c>
      <c r="C31" s="10" t="s">
        <v>29</v>
      </c>
      <c r="D31" s="10" t="s">
        <v>12</v>
      </c>
      <c r="E31" s="10" t="s">
        <v>55</v>
      </c>
      <c r="F31" s="11" t="n">
        <v>1239235.29</v>
      </c>
      <c r="G31" s="11" t="n">
        <v>1216098.6</v>
      </c>
      <c r="H31" s="11" t="n">
        <v>793405.98</v>
      </c>
      <c r="I31" s="12" t="n">
        <v>8268</v>
      </c>
    </row>
    <row r="32" customFormat="false" ht="15" hidden="false" customHeight="false" outlineLevel="0" collapsed="false">
      <c r="A32" s="10" t="s">
        <v>56</v>
      </c>
      <c r="B32" s="10" t="s">
        <v>57</v>
      </c>
      <c r="C32" s="10" t="s">
        <v>21</v>
      </c>
      <c r="D32" s="10" t="s">
        <v>11</v>
      </c>
      <c r="E32" s="10" t="s">
        <v>58</v>
      </c>
      <c r="F32" s="11" t="n">
        <v>2144684.63</v>
      </c>
      <c r="G32" s="11" t="n">
        <v>2122819.92</v>
      </c>
      <c r="H32" s="11" t="n">
        <v>1635876.11</v>
      </c>
      <c r="I32" s="12" t="n">
        <v>7695</v>
      </c>
    </row>
    <row r="33" customFormat="false" ht="15" hidden="false" customHeight="false" outlineLevel="0" collapsed="false">
      <c r="A33" s="10" t="s">
        <v>59</v>
      </c>
      <c r="B33" s="10" t="s">
        <v>60</v>
      </c>
      <c r="C33" s="10" t="s">
        <v>25</v>
      </c>
      <c r="D33" s="10" t="s">
        <v>10</v>
      </c>
      <c r="E33" s="10" t="s">
        <v>33</v>
      </c>
      <c r="F33" s="11" t="n">
        <v>6341822.96</v>
      </c>
      <c r="G33" s="11" t="n">
        <v>6269330.73</v>
      </c>
      <c r="H33" s="11" t="n">
        <v>5080448.19</v>
      </c>
      <c r="I33" s="12" t="n">
        <v>836</v>
      </c>
    </row>
    <row r="34" customFormat="false" ht="15" hidden="false" customHeight="false" outlineLevel="0" collapsed="false">
      <c r="A34" s="10" t="s">
        <v>61</v>
      </c>
      <c r="B34" s="10" t="s">
        <v>62</v>
      </c>
      <c r="C34" s="10" t="s">
        <v>25</v>
      </c>
      <c r="D34" s="10" t="s">
        <v>10</v>
      </c>
      <c r="E34" s="10" t="s">
        <v>33</v>
      </c>
      <c r="F34" s="11" t="n">
        <v>3470496.38</v>
      </c>
      <c r="G34" s="11" t="n">
        <v>3406253.95</v>
      </c>
      <c r="H34" s="11" t="n">
        <v>2908621.08</v>
      </c>
      <c r="I34" s="12" t="n">
        <v>8674</v>
      </c>
    </row>
    <row r="35" customFormat="false" ht="15" hidden="false" customHeight="false" outlineLevel="0" collapsed="false">
      <c r="A35" s="10"/>
      <c r="B35" s="10" t="s">
        <v>63</v>
      </c>
      <c r="C35" s="10" t="s">
        <v>64</v>
      </c>
      <c r="D35" s="10" t="s">
        <v>9</v>
      </c>
      <c r="E35" s="10" t="s">
        <v>65</v>
      </c>
      <c r="F35" s="11" t="n">
        <v>7064675.72</v>
      </c>
      <c r="G35" s="11" t="n">
        <v>6606627.81</v>
      </c>
      <c r="H35" s="11" t="n">
        <v>5821789.2</v>
      </c>
      <c r="I35" s="12" t="n">
        <v>0</v>
      </c>
    </row>
    <row r="36" customFormat="false" ht="15" hidden="false" customHeight="false" outlineLevel="0" collapsed="false">
      <c r="A36" s="10" t="s">
        <v>66</v>
      </c>
      <c r="B36" s="10" t="s">
        <v>67</v>
      </c>
      <c r="C36" s="10" t="s">
        <v>29</v>
      </c>
      <c r="D36" s="10" t="s">
        <v>12</v>
      </c>
      <c r="E36" s="10" t="s">
        <v>68</v>
      </c>
      <c r="F36" s="11" t="n">
        <v>929245.35</v>
      </c>
      <c r="G36" s="11" t="n">
        <v>879176.35</v>
      </c>
      <c r="H36" s="11" t="n">
        <v>621362.82</v>
      </c>
      <c r="I36" s="12" t="n">
        <v>1237</v>
      </c>
    </row>
    <row r="37" customFormat="false" ht="15" hidden="false" customHeight="false" outlineLevel="0" collapsed="false">
      <c r="A37" s="10" t="s">
        <v>69</v>
      </c>
      <c r="B37" s="10" t="s">
        <v>70</v>
      </c>
      <c r="C37" s="10" t="s">
        <v>21</v>
      </c>
      <c r="D37" s="10" t="s">
        <v>11</v>
      </c>
      <c r="E37" s="10" t="s">
        <v>71</v>
      </c>
      <c r="F37" s="11" t="n">
        <v>5344217.63</v>
      </c>
      <c r="G37" s="11" t="n">
        <v>5137738.75</v>
      </c>
      <c r="H37" s="11" t="n">
        <v>3722382.02</v>
      </c>
      <c r="I37" s="12" t="n">
        <v>8486</v>
      </c>
    </row>
    <row r="38" customFormat="false" ht="15" hidden="false" customHeight="false" outlineLevel="0" collapsed="false">
      <c r="A38" s="10" t="s">
        <v>72</v>
      </c>
      <c r="B38" s="10" t="s">
        <v>73</v>
      </c>
      <c r="C38" s="10" t="s">
        <v>25</v>
      </c>
      <c r="D38" s="10" t="s">
        <v>11</v>
      </c>
      <c r="E38" s="10" t="s">
        <v>58</v>
      </c>
      <c r="F38" s="11" t="n">
        <v>6648964.12</v>
      </c>
      <c r="G38" s="11" t="n">
        <v>6500620.29</v>
      </c>
      <c r="H38" s="11" t="n">
        <v>4784397</v>
      </c>
      <c r="I38" s="12" t="n">
        <v>2818</v>
      </c>
    </row>
    <row r="39" customFormat="false" ht="15" hidden="false" customHeight="false" outlineLevel="0" collapsed="false">
      <c r="A39" s="10" t="s">
        <v>74</v>
      </c>
      <c r="B39" s="10" t="s">
        <v>75</v>
      </c>
      <c r="C39" s="10" t="s">
        <v>25</v>
      </c>
      <c r="D39" s="10" t="s">
        <v>10</v>
      </c>
      <c r="E39" s="10" t="s">
        <v>33</v>
      </c>
      <c r="F39" s="11" t="n">
        <v>5220210.14</v>
      </c>
      <c r="G39" s="11" t="n">
        <v>5061827.6</v>
      </c>
      <c r="H39" s="11" t="n">
        <v>3421384.74</v>
      </c>
      <c r="I39" s="12" t="n">
        <v>7400</v>
      </c>
    </row>
    <row r="40" customFormat="false" ht="15" hidden="false" customHeight="false" outlineLevel="0" collapsed="false">
      <c r="A40" s="10" t="s">
        <v>76</v>
      </c>
      <c r="B40" s="10" t="s">
        <v>77</v>
      </c>
      <c r="C40" s="10" t="s">
        <v>21</v>
      </c>
      <c r="D40" s="10" t="s">
        <v>9</v>
      </c>
      <c r="E40" s="10" t="s">
        <v>26</v>
      </c>
      <c r="F40" s="11" t="n">
        <v>2958999.12</v>
      </c>
      <c r="G40" s="11" t="n">
        <v>2863687.79</v>
      </c>
      <c r="H40" s="11" t="n">
        <v>2282377.07</v>
      </c>
      <c r="I40" s="12" t="n">
        <v>612</v>
      </c>
    </row>
    <row r="41" customFormat="false" ht="15" hidden="false" customHeight="false" outlineLevel="0" collapsed="false">
      <c r="A41" s="10"/>
      <c r="B41" s="10" t="s">
        <v>78</v>
      </c>
      <c r="C41" s="10" t="s">
        <v>64</v>
      </c>
      <c r="D41" s="10" t="s">
        <v>11</v>
      </c>
      <c r="E41" s="10" t="s">
        <v>39</v>
      </c>
      <c r="F41" s="11" t="n">
        <v>3743915.99</v>
      </c>
      <c r="G41" s="11" t="n">
        <v>3714010.22</v>
      </c>
      <c r="H41" s="11" t="n">
        <v>3067139.97</v>
      </c>
      <c r="I41" s="12" t="n">
        <v>0</v>
      </c>
    </row>
    <row r="42" customFormat="false" ht="15" hidden="false" customHeight="false" outlineLevel="0" collapsed="false">
      <c r="A42" s="10" t="s">
        <v>79</v>
      </c>
      <c r="B42" s="10" t="s">
        <v>80</v>
      </c>
      <c r="C42" s="10" t="s">
        <v>21</v>
      </c>
      <c r="D42" s="10" t="s">
        <v>13</v>
      </c>
      <c r="E42" s="10" t="s">
        <v>81</v>
      </c>
      <c r="F42" s="11" t="n">
        <v>2973758.64</v>
      </c>
      <c r="G42" s="11" t="n">
        <v>2932500.04</v>
      </c>
      <c r="H42" s="11" t="n">
        <v>1912907.96</v>
      </c>
      <c r="I42" s="12" t="n">
        <v>8890</v>
      </c>
    </row>
    <row r="43" customFormat="false" ht="15" hidden="false" customHeight="false" outlineLevel="0" collapsed="false">
      <c r="A43" s="10" t="s">
        <v>82</v>
      </c>
      <c r="B43" s="10" t="s">
        <v>83</v>
      </c>
      <c r="C43" s="10" t="s">
        <v>21</v>
      </c>
      <c r="D43" s="10" t="s">
        <v>10</v>
      </c>
      <c r="E43" s="10" t="s">
        <v>33</v>
      </c>
      <c r="F43" s="11" t="n">
        <v>2346288.59</v>
      </c>
      <c r="G43" s="11" t="n">
        <v>2284725.84</v>
      </c>
      <c r="H43" s="11" t="n">
        <v>1923409.22</v>
      </c>
      <c r="I43" s="12" t="n">
        <v>5076</v>
      </c>
    </row>
    <row r="44" customFormat="false" ht="15" hidden="false" customHeight="false" outlineLevel="0" collapsed="false">
      <c r="A44" s="10" t="s">
        <v>84</v>
      </c>
      <c r="B44" s="10" t="s">
        <v>85</v>
      </c>
      <c r="C44" s="10" t="s">
        <v>21</v>
      </c>
      <c r="D44" s="10" t="s">
        <v>10</v>
      </c>
      <c r="E44" s="10" t="s">
        <v>33</v>
      </c>
      <c r="F44" s="11" t="n">
        <v>3838416.15</v>
      </c>
      <c r="G44" s="11" t="n">
        <v>3716536.74</v>
      </c>
      <c r="H44" s="11" t="n">
        <v>3243970.56</v>
      </c>
      <c r="I44" s="12" t="n">
        <v>1437</v>
      </c>
    </row>
    <row r="45" customFormat="false" ht="15" hidden="false" customHeight="false" outlineLevel="0" collapsed="false">
      <c r="A45" s="10" t="s">
        <v>86</v>
      </c>
      <c r="B45" s="10" t="s">
        <v>87</v>
      </c>
      <c r="C45" s="10" t="s">
        <v>25</v>
      </c>
      <c r="D45" s="10" t="s">
        <v>10</v>
      </c>
      <c r="E45" s="10" t="s">
        <v>33</v>
      </c>
      <c r="F45" s="11" t="n">
        <v>2741975.49</v>
      </c>
      <c r="G45" s="11" t="n">
        <v>2552380.65</v>
      </c>
      <c r="H45" s="11" t="n">
        <v>2196592.36</v>
      </c>
      <c r="I45" s="12" t="n">
        <v>7230</v>
      </c>
    </row>
    <row r="46" customFormat="false" ht="15" hidden="false" customHeight="false" outlineLevel="0" collapsed="false">
      <c r="A46" s="10" t="s">
        <v>88</v>
      </c>
      <c r="B46" s="10" t="s">
        <v>89</v>
      </c>
      <c r="C46" s="10" t="s">
        <v>29</v>
      </c>
      <c r="D46" s="10" t="s">
        <v>12</v>
      </c>
      <c r="E46" s="10" t="s">
        <v>90</v>
      </c>
      <c r="F46" s="11" t="n">
        <v>5117678.19</v>
      </c>
      <c r="G46" s="11" t="n">
        <v>5054179.87</v>
      </c>
      <c r="H46" s="11" t="n">
        <v>3426503.5</v>
      </c>
      <c r="I46" s="12" t="n">
        <v>4663</v>
      </c>
    </row>
    <row r="47" customFormat="false" ht="15" hidden="false" customHeight="false" outlineLevel="0" collapsed="false">
      <c r="A47" s="10" t="s">
        <v>91</v>
      </c>
      <c r="B47" s="10" t="s">
        <v>92</v>
      </c>
      <c r="C47" s="10" t="s">
        <v>21</v>
      </c>
      <c r="D47" s="10" t="s">
        <v>11</v>
      </c>
      <c r="E47" s="10" t="s">
        <v>39</v>
      </c>
      <c r="F47" s="11" t="n">
        <v>7222582.13</v>
      </c>
      <c r="G47" s="11" t="n">
        <v>6834556.68</v>
      </c>
      <c r="H47" s="11" t="n">
        <v>5506236.85</v>
      </c>
      <c r="I47" s="12" t="n">
        <v>6507</v>
      </c>
    </row>
    <row r="48" customFormat="false" ht="15" hidden="false" customHeight="false" outlineLevel="0" collapsed="false">
      <c r="A48" s="10" t="s">
        <v>93</v>
      </c>
      <c r="B48" s="10" t="s">
        <v>94</v>
      </c>
      <c r="C48" s="10" t="s">
        <v>21</v>
      </c>
      <c r="D48" s="10" t="s">
        <v>9</v>
      </c>
      <c r="E48" s="10" t="s">
        <v>65</v>
      </c>
      <c r="F48" s="11" t="n">
        <v>2498493.42</v>
      </c>
      <c r="G48" s="11" t="n">
        <v>2332182.26</v>
      </c>
      <c r="H48" s="11" t="n">
        <v>1618969.4</v>
      </c>
      <c r="I48" s="12" t="n">
        <v>5679</v>
      </c>
    </row>
    <row r="49" customFormat="false" ht="15" hidden="false" customHeight="false" outlineLevel="0" collapsed="false">
      <c r="A49" s="10" t="s">
        <v>95</v>
      </c>
      <c r="B49" s="10" t="s">
        <v>96</v>
      </c>
      <c r="C49" s="10" t="s">
        <v>21</v>
      </c>
      <c r="D49" s="10" t="s">
        <v>13</v>
      </c>
      <c r="E49" s="10" t="s">
        <v>44</v>
      </c>
      <c r="F49" s="11" t="n">
        <v>6376722.89</v>
      </c>
      <c r="G49" s="11" t="n">
        <v>6346031.1</v>
      </c>
      <c r="H49" s="11" t="n">
        <v>4974274.49</v>
      </c>
      <c r="I49" s="12" t="n">
        <v>921</v>
      </c>
    </row>
    <row r="50" customFormat="false" ht="15" hidden="false" customHeight="false" outlineLevel="0" collapsed="false">
      <c r="A50" s="10" t="s">
        <v>97</v>
      </c>
      <c r="B50" s="10" t="s">
        <v>98</v>
      </c>
      <c r="C50" s="10" t="s">
        <v>29</v>
      </c>
      <c r="D50" s="10" t="s">
        <v>12</v>
      </c>
      <c r="E50" s="10" t="s">
        <v>99</v>
      </c>
      <c r="F50" s="11" t="n">
        <v>490182.26</v>
      </c>
      <c r="G50" s="11" t="n">
        <v>475308.04</v>
      </c>
      <c r="H50" s="11" t="n">
        <v>350896.7</v>
      </c>
      <c r="I50" s="12" t="n">
        <v>6746</v>
      </c>
    </row>
    <row r="51" customFormat="false" ht="15" hidden="false" customHeight="false" outlineLevel="0" collapsed="false">
      <c r="A51" s="10" t="s">
        <v>100</v>
      </c>
      <c r="B51" s="10" t="s">
        <v>101</v>
      </c>
      <c r="C51" s="10" t="s">
        <v>21</v>
      </c>
      <c r="D51" s="10" t="s">
        <v>11</v>
      </c>
      <c r="E51" s="10" t="s">
        <v>58</v>
      </c>
      <c r="F51" s="11" t="n">
        <v>6303697.83</v>
      </c>
      <c r="G51" s="11" t="n">
        <v>5976703.73</v>
      </c>
      <c r="H51" s="11" t="n">
        <v>4028336.25</v>
      </c>
      <c r="I51" s="12" t="n">
        <v>709</v>
      </c>
    </row>
    <row r="52" customFormat="false" ht="15" hidden="false" customHeight="false" outlineLevel="0" collapsed="false">
      <c r="A52" s="10" t="s">
        <v>102</v>
      </c>
      <c r="B52" s="10" t="s">
        <v>103</v>
      </c>
      <c r="C52" s="10" t="s">
        <v>21</v>
      </c>
      <c r="D52" s="10" t="s">
        <v>11</v>
      </c>
      <c r="E52" s="10" t="s">
        <v>104</v>
      </c>
      <c r="F52" s="11" t="n">
        <v>1702365.02</v>
      </c>
      <c r="G52" s="11" t="n">
        <v>1646022.21</v>
      </c>
      <c r="H52" s="11" t="n">
        <v>1174652.45</v>
      </c>
      <c r="I52" s="12" t="n">
        <v>5903</v>
      </c>
    </row>
    <row r="53" customFormat="false" ht="15" hidden="false" customHeight="false" outlineLevel="0" collapsed="false">
      <c r="A53" s="10" t="s">
        <v>105</v>
      </c>
      <c r="B53" s="10" t="s">
        <v>106</v>
      </c>
      <c r="C53" s="10" t="s">
        <v>21</v>
      </c>
      <c r="D53" s="10" t="s">
        <v>11</v>
      </c>
      <c r="E53" s="10" t="s">
        <v>104</v>
      </c>
      <c r="F53" s="11" t="n">
        <v>7469125.04</v>
      </c>
      <c r="G53" s="11" t="n">
        <v>7450635.53</v>
      </c>
      <c r="H53" s="11" t="n">
        <v>6059942.08</v>
      </c>
      <c r="I53" s="12" t="n">
        <v>8886</v>
      </c>
    </row>
    <row r="54" customFormat="false" ht="15" hidden="false" customHeight="false" outlineLevel="0" collapsed="false">
      <c r="A54" s="10" t="s">
        <v>107</v>
      </c>
      <c r="B54" s="10" t="s">
        <v>108</v>
      </c>
      <c r="C54" s="10" t="s">
        <v>29</v>
      </c>
      <c r="D54" s="10" t="s">
        <v>10</v>
      </c>
      <c r="E54" s="10" t="s">
        <v>33</v>
      </c>
      <c r="F54" s="11" t="n">
        <v>5550050.75</v>
      </c>
      <c r="G54" s="11" t="n">
        <v>5537986.4</v>
      </c>
      <c r="H54" s="11" t="n">
        <v>3852914.85</v>
      </c>
      <c r="I54" s="12" t="n">
        <v>7201</v>
      </c>
    </row>
    <row r="55" customFormat="false" ht="15" hidden="false" customHeight="false" outlineLevel="0" collapsed="false">
      <c r="A55" s="10" t="s">
        <v>109</v>
      </c>
      <c r="B55" s="10" t="s">
        <v>110</v>
      </c>
      <c r="C55" s="10" t="s">
        <v>21</v>
      </c>
      <c r="D55" s="10" t="s">
        <v>9</v>
      </c>
      <c r="E55" s="10" t="s">
        <v>26</v>
      </c>
      <c r="F55" s="11" t="n">
        <v>2875444.91</v>
      </c>
      <c r="G55" s="11" t="n">
        <v>2759649.49</v>
      </c>
      <c r="H55" s="11" t="n">
        <v>2190419.71</v>
      </c>
      <c r="I55" s="12" t="n">
        <v>8710</v>
      </c>
    </row>
    <row r="56" customFormat="false" ht="15" hidden="false" customHeight="false" outlineLevel="0" collapsed="false">
      <c r="A56" s="10" t="s">
        <v>111</v>
      </c>
      <c r="B56" s="10" t="s">
        <v>112</v>
      </c>
      <c r="C56" s="10" t="s">
        <v>21</v>
      </c>
      <c r="D56" s="10" t="s">
        <v>10</v>
      </c>
      <c r="E56" s="10" t="s">
        <v>30</v>
      </c>
      <c r="F56" s="11" t="n">
        <v>1697451.45</v>
      </c>
      <c r="G56" s="11" t="n">
        <v>1629687.52</v>
      </c>
      <c r="H56" s="11" t="n">
        <v>1459292.47</v>
      </c>
      <c r="I56" s="12" t="n">
        <v>5766</v>
      </c>
    </row>
    <row r="57" customFormat="false" ht="15" hidden="false" customHeight="false" outlineLevel="0" collapsed="false">
      <c r="A57" s="10" t="s">
        <v>113</v>
      </c>
      <c r="B57" s="10" t="s">
        <v>114</v>
      </c>
      <c r="C57" s="10" t="s">
        <v>25</v>
      </c>
      <c r="D57" s="10" t="s">
        <v>12</v>
      </c>
      <c r="E57" s="10" t="s">
        <v>99</v>
      </c>
      <c r="F57" s="11" t="n">
        <v>6131671.74</v>
      </c>
      <c r="G57" s="11" t="n">
        <v>5749853.31</v>
      </c>
      <c r="H57" s="11" t="n">
        <v>4761381.61</v>
      </c>
      <c r="I57" s="12" t="n">
        <v>894</v>
      </c>
    </row>
    <row r="58" customFormat="false" ht="15" hidden="false" customHeight="false" outlineLevel="0" collapsed="false">
      <c r="A58" s="10" t="s">
        <v>115</v>
      </c>
      <c r="B58" s="10" t="s">
        <v>116</v>
      </c>
      <c r="C58" s="10" t="s">
        <v>21</v>
      </c>
      <c r="D58" s="10" t="s">
        <v>11</v>
      </c>
      <c r="E58" s="10" t="s">
        <v>71</v>
      </c>
      <c r="F58" s="11" t="n">
        <v>6780259.4</v>
      </c>
      <c r="G58" s="11" t="n">
        <v>6728145.44</v>
      </c>
      <c r="H58" s="10" t="s">
        <v>117</v>
      </c>
      <c r="I58" s="12" t="n">
        <v>6373</v>
      </c>
    </row>
    <row r="59" customFormat="false" ht="15" hidden="false" customHeight="false" outlineLevel="0" collapsed="false">
      <c r="A59" s="10" t="s">
        <v>118</v>
      </c>
      <c r="B59" s="10" t="s">
        <v>119</v>
      </c>
      <c r="C59" s="10" t="s">
        <v>25</v>
      </c>
      <c r="D59" s="10" t="s">
        <v>11</v>
      </c>
      <c r="E59" s="10" t="s">
        <v>58</v>
      </c>
      <c r="F59" s="11" t="n">
        <v>2173874.69</v>
      </c>
      <c r="G59" s="11" t="n">
        <v>2156874.08</v>
      </c>
      <c r="H59" s="11" t="n">
        <v>1737402.66</v>
      </c>
      <c r="I59" s="12" t="n">
        <v>5951</v>
      </c>
    </row>
    <row r="60" customFormat="false" ht="15" hidden="false" customHeight="false" outlineLevel="0" collapsed="false">
      <c r="A60" s="10" t="s">
        <v>120</v>
      </c>
      <c r="B60" s="10" t="s">
        <v>121</v>
      </c>
      <c r="C60" s="10" t="s">
        <v>21</v>
      </c>
      <c r="D60" s="10" t="s">
        <v>13</v>
      </c>
      <c r="E60" s="10" t="s">
        <v>122</v>
      </c>
      <c r="F60" s="11" t="n">
        <v>4842973.27</v>
      </c>
      <c r="G60" s="11" t="n">
        <v>4756214.48</v>
      </c>
      <c r="H60" s="11" t="n">
        <v>3204130.5</v>
      </c>
      <c r="I60" s="12" t="n">
        <v>7531</v>
      </c>
    </row>
    <row r="61" customFormat="false" ht="15" hidden="false" customHeight="false" outlineLevel="0" collapsed="false">
      <c r="A61" s="10" t="s">
        <v>123</v>
      </c>
      <c r="B61" s="10" t="s">
        <v>124</v>
      </c>
      <c r="C61" s="10" t="s">
        <v>21</v>
      </c>
      <c r="D61" s="10" t="s">
        <v>9</v>
      </c>
      <c r="E61" s="10" t="s">
        <v>26</v>
      </c>
      <c r="F61" s="11" t="n">
        <v>885236.6</v>
      </c>
      <c r="G61" s="11" t="n">
        <v>843484.11</v>
      </c>
      <c r="H61" s="11" t="n">
        <v>643431.07</v>
      </c>
      <c r="I61" s="12" t="n">
        <v>6464</v>
      </c>
    </row>
    <row r="62" customFormat="false" ht="15" hidden="false" customHeight="false" outlineLevel="0" collapsed="false">
      <c r="A62" s="10" t="s">
        <v>125</v>
      </c>
      <c r="B62" s="10" t="s">
        <v>126</v>
      </c>
      <c r="C62" s="10" t="s">
        <v>25</v>
      </c>
      <c r="D62" s="10" t="s">
        <v>9</v>
      </c>
      <c r="E62" s="10" t="s">
        <v>127</v>
      </c>
      <c r="F62" s="11" t="n">
        <v>5004480.39</v>
      </c>
      <c r="G62" s="11" t="n">
        <v>4747614.48</v>
      </c>
      <c r="H62" s="11" t="n">
        <v>3931504.38</v>
      </c>
      <c r="I62" s="12" t="n">
        <v>3764</v>
      </c>
    </row>
    <row r="63" customFormat="false" ht="15" hidden="false" customHeight="false" outlineLevel="0" collapsed="false">
      <c r="A63" s="10" t="s">
        <v>128</v>
      </c>
      <c r="B63" s="10" t="s">
        <v>129</v>
      </c>
      <c r="C63" s="10" t="s">
        <v>21</v>
      </c>
      <c r="D63" s="10" t="s">
        <v>9</v>
      </c>
      <c r="E63" s="10" t="s">
        <v>130</v>
      </c>
      <c r="F63" s="11" t="n">
        <v>472149.38</v>
      </c>
      <c r="G63" s="11" t="n">
        <v>448814.67</v>
      </c>
      <c r="H63" s="11" t="n">
        <v>297029.2</v>
      </c>
      <c r="I63" s="12" t="n">
        <v>8247</v>
      </c>
    </row>
    <row r="64" customFormat="false" ht="15" hidden="false" customHeight="false" outlineLevel="0" collapsed="false">
      <c r="A64" s="10" t="s">
        <v>131</v>
      </c>
      <c r="B64" s="10" t="s">
        <v>132</v>
      </c>
      <c r="C64" s="10" t="s">
        <v>25</v>
      </c>
      <c r="D64" s="10" t="s">
        <v>9</v>
      </c>
      <c r="E64" s="10" t="s">
        <v>47</v>
      </c>
      <c r="F64" s="11" t="n">
        <v>520720.39</v>
      </c>
      <c r="G64" s="11" t="n">
        <v>487671.24</v>
      </c>
      <c r="H64" s="11" t="n">
        <v>417106.26</v>
      </c>
      <c r="I64" s="12" t="n">
        <v>307</v>
      </c>
    </row>
    <row r="65" customFormat="false" ht="15" hidden="false" customHeight="false" outlineLevel="0" collapsed="false">
      <c r="A65" s="10" t="s">
        <v>133</v>
      </c>
      <c r="B65" s="10" t="s">
        <v>134</v>
      </c>
      <c r="C65" s="10" t="s">
        <v>21</v>
      </c>
      <c r="D65" s="10" t="s">
        <v>10</v>
      </c>
      <c r="E65" s="10" t="s">
        <v>30</v>
      </c>
      <c r="F65" s="11" t="n">
        <v>4135200.58</v>
      </c>
      <c r="G65" s="11" t="n">
        <v>3912233.45</v>
      </c>
      <c r="H65" s="11" t="n">
        <v>3310048.3</v>
      </c>
      <c r="I65" s="12" t="n">
        <v>3748</v>
      </c>
    </row>
    <row r="66" customFormat="false" ht="15" hidden="false" customHeight="false" outlineLevel="0" collapsed="false">
      <c r="A66" s="10" t="s">
        <v>135</v>
      </c>
      <c r="B66" s="10" t="s">
        <v>136</v>
      </c>
      <c r="C66" s="10" t="s">
        <v>21</v>
      </c>
      <c r="D66" s="10" t="s">
        <v>9</v>
      </c>
      <c r="E66" s="10" t="s">
        <v>65</v>
      </c>
      <c r="F66" s="11" t="n">
        <v>2140606.2</v>
      </c>
      <c r="G66" s="11" t="n">
        <v>2040165.11</v>
      </c>
      <c r="H66" s="11" t="n">
        <v>1304751.83</v>
      </c>
      <c r="I66" s="12" t="n">
        <v>4444</v>
      </c>
    </row>
    <row r="67" customFormat="false" ht="15" hidden="false" customHeight="false" outlineLevel="0" collapsed="false">
      <c r="A67" s="10" t="s">
        <v>137</v>
      </c>
      <c r="B67" s="10" t="s">
        <v>138</v>
      </c>
      <c r="C67" s="10" t="s">
        <v>21</v>
      </c>
      <c r="D67" s="10" t="s">
        <v>9</v>
      </c>
      <c r="E67" s="10" t="s">
        <v>65</v>
      </c>
      <c r="F67" s="11" t="n">
        <v>5197906.58</v>
      </c>
      <c r="G67" s="11" t="n">
        <v>5068453.8</v>
      </c>
      <c r="H67" s="11" t="n">
        <v>4178128.75</v>
      </c>
      <c r="I67" s="12" t="n">
        <v>7482</v>
      </c>
    </row>
    <row r="68" customFormat="false" ht="15" hidden="false" customHeight="false" outlineLevel="0" collapsed="false">
      <c r="A68" s="10" t="s">
        <v>139</v>
      </c>
      <c r="B68" s="10" t="s">
        <v>140</v>
      </c>
      <c r="C68" s="10" t="s">
        <v>21</v>
      </c>
      <c r="D68" s="10" t="s">
        <v>9</v>
      </c>
      <c r="E68" s="10" t="s">
        <v>47</v>
      </c>
      <c r="F68" s="11" t="n">
        <v>1202121.81</v>
      </c>
      <c r="G68" s="11" t="n">
        <v>1166135.12</v>
      </c>
      <c r="H68" s="11" t="n">
        <v>724974.26</v>
      </c>
      <c r="I68" s="12" t="n">
        <v>8037</v>
      </c>
    </row>
    <row r="69" customFormat="false" ht="15" hidden="false" customHeight="false" outlineLevel="0" collapsed="false">
      <c r="A69" s="10" t="s">
        <v>141</v>
      </c>
      <c r="B69" s="10" t="s">
        <v>142</v>
      </c>
      <c r="C69" s="10" t="s">
        <v>29</v>
      </c>
      <c r="D69" s="10" t="s">
        <v>13</v>
      </c>
      <c r="E69" s="10" t="s">
        <v>143</v>
      </c>
      <c r="F69" s="11" t="n">
        <v>6219379.48</v>
      </c>
      <c r="G69" s="11" t="n">
        <v>5964379.93</v>
      </c>
      <c r="H69" s="11" t="n">
        <v>4756038.07</v>
      </c>
      <c r="I69" s="12" t="n">
        <v>7901</v>
      </c>
    </row>
    <row r="70" customFormat="false" ht="15" hidden="false" customHeight="false" outlineLevel="0" collapsed="false">
      <c r="A70" s="10" t="s">
        <v>144</v>
      </c>
      <c r="B70" s="10" t="s">
        <v>145</v>
      </c>
      <c r="C70" s="10" t="s">
        <v>21</v>
      </c>
      <c r="D70" s="10" t="s">
        <v>13</v>
      </c>
      <c r="E70" s="10" t="s">
        <v>44</v>
      </c>
      <c r="F70" s="11" t="n">
        <v>571792.96</v>
      </c>
      <c r="G70" s="11" t="n">
        <v>548355.98</v>
      </c>
      <c r="H70" s="11" t="n">
        <v>423880.64</v>
      </c>
      <c r="I70" s="12" t="n">
        <v>7362</v>
      </c>
    </row>
    <row r="71" customFormat="false" ht="15" hidden="false" customHeight="false" outlineLevel="0" collapsed="false">
      <c r="A71" s="10" t="s">
        <v>146</v>
      </c>
      <c r="B71" s="10" t="s">
        <v>147</v>
      </c>
      <c r="C71" s="10" t="s">
        <v>21</v>
      </c>
      <c r="D71" s="10" t="s">
        <v>11</v>
      </c>
      <c r="E71" s="10" t="s">
        <v>39</v>
      </c>
      <c r="F71" s="11" t="n">
        <v>7399613.1</v>
      </c>
      <c r="G71" s="11" t="n">
        <v>7210621.47</v>
      </c>
      <c r="H71" s="11" t="n">
        <v>5026706.75</v>
      </c>
      <c r="I71" s="12" t="n">
        <v>4422</v>
      </c>
    </row>
    <row r="72" customFormat="false" ht="15" hidden="false" customHeight="false" outlineLevel="0" collapsed="false">
      <c r="A72" s="10" t="s">
        <v>148</v>
      </c>
      <c r="B72" s="10" t="s">
        <v>149</v>
      </c>
      <c r="C72" s="10" t="s">
        <v>29</v>
      </c>
      <c r="D72" s="10" t="s">
        <v>9</v>
      </c>
      <c r="E72" s="10" t="s">
        <v>130</v>
      </c>
      <c r="F72" s="11" t="n">
        <v>981418.32</v>
      </c>
      <c r="G72" s="11" t="n">
        <v>968082.15</v>
      </c>
      <c r="H72" s="11" t="n">
        <v>617965.54</v>
      </c>
      <c r="I72" s="12" t="n">
        <v>3248</v>
      </c>
    </row>
    <row r="73" customFormat="false" ht="15" hidden="false" customHeight="false" outlineLevel="0" collapsed="false">
      <c r="A73" s="10" t="s">
        <v>150</v>
      </c>
      <c r="B73" s="10" t="s">
        <v>151</v>
      </c>
      <c r="C73" s="10" t="s">
        <v>25</v>
      </c>
      <c r="D73" s="10" t="s">
        <v>9</v>
      </c>
      <c r="E73" s="10" t="s">
        <v>47</v>
      </c>
      <c r="F73" s="11" t="n">
        <v>2688306.36</v>
      </c>
      <c r="G73" s="11" t="n">
        <v>2523140.41</v>
      </c>
      <c r="H73" s="11" t="n">
        <v>1935393.16</v>
      </c>
      <c r="I73" s="12" t="n">
        <v>6390</v>
      </c>
    </row>
    <row r="74" customFormat="false" ht="15" hidden="false" customHeight="false" outlineLevel="0" collapsed="false">
      <c r="A74" s="10" t="s">
        <v>152</v>
      </c>
      <c r="B74" s="10" t="s">
        <v>153</v>
      </c>
      <c r="C74" s="10" t="s">
        <v>25</v>
      </c>
      <c r="D74" s="10" t="s">
        <v>9</v>
      </c>
      <c r="E74" s="10" t="s">
        <v>154</v>
      </c>
      <c r="F74" s="11" t="n">
        <v>1509424.91</v>
      </c>
      <c r="G74" s="11" t="n">
        <v>1492153.92</v>
      </c>
      <c r="H74" s="11" t="n">
        <v>936569.1</v>
      </c>
      <c r="I74" s="12" t="n">
        <v>4009</v>
      </c>
    </row>
    <row r="75" customFormat="false" ht="15" hidden="false" customHeight="false" outlineLevel="0" collapsed="false">
      <c r="A75" s="10" t="s">
        <v>155</v>
      </c>
      <c r="B75" s="10" t="s">
        <v>156</v>
      </c>
      <c r="C75" s="10" t="s">
        <v>25</v>
      </c>
      <c r="D75" s="10" t="s">
        <v>11</v>
      </c>
      <c r="E75" s="10" t="s">
        <v>104</v>
      </c>
      <c r="F75" s="11" t="n">
        <v>4395389.86</v>
      </c>
      <c r="G75" s="11" t="n">
        <v>4118253.8</v>
      </c>
      <c r="H75" s="11" t="n">
        <v>3298964.61</v>
      </c>
      <c r="I75" s="12" t="n">
        <v>6455</v>
      </c>
    </row>
    <row r="76" customFormat="false" ht="15" hidden="false" customHeight="false" outlineLevel="0" collapsed="false">
      <c r="A76" s="10" t="s">
        <v>157</v>
      </c>
      <c r="B76" s="10" t="s">
        <v>158</v>
      </c>
      <c r="C76" s="10" t="s">
        <v>21</v>
      </c>
      <c r="D76" s="10" t="s">
        <v>10</v>
      </c>
      <c r="E76" s="10" t="s">
        <v>30</v>
      </c>
      <c r="F76" s="11" t="n">
        <v>2766236.25</v>
      </c>
      <c r="G76" s="11" t="n">
        <v>2576365.22</v>
      </c>
      <c r="H76" s="11" t="n">
        <v>2097787.21</v>
      </c>
      <c r="I76" s="12" t="n">
        <v>6132</v>
      </c>
    </row>
    <row r="77" customFormat="false" ht="15" hidden="false" customHeight="false" outlineLevel="0" collapsed="false">
      <c r="A77" s="10" t="s">
        <v>159</v>
      </c>
      <c r="B77" s="10" t="s">
        <v>160</v>
      </c>
      <c r="C77" s="10" t="s">
        <v>21</v>
      </c>
      <c r="D77" s="10" t="s">
        <v>13</v>
      </c>
      <c r="E77" s="10" t="s">
        <v>44</v>
      </c>
      <c r="F77" s="11" t="n">
        <v>4376044.81</v>
      </c>
      <c r="G77" s="11" t="n">
        <v>4249338.06</v>
      </c>
      <c r="H77" s="11" t="n">
        <v>3711176.02</v>
      </c>
      <c r="I77" s="12" t="n">
        <v>4731</v>
      </c>
    </row>
    <row r="78" customFormat="false" ht="15" hidden="false" customHeight="false" outlineLevel="0" collapsed="false">
      <c r="A78" s="10" t="s">
        <v>161</v>
      </c>
      <c r="B78" s="10" t="s">
        <v>162</v>
      </c>
      <c r="C78" s="10" t="s">
        <v>21</v>
      </c>
      <c r="D78" s="10" t="s">
        <v>9</v>
      </c>
      <c r="E78" s="10" t="s">
        <v>65</v>
      </c>
      <c r="F78" s="11" t="n">
        <v>1144540.7</v>
      </c>
      <c r="G78" s="11" t="n">
        <v>1126262.38</v>
      </c>
      <c r="H78" s="11" t="n">
        <v>809593.45</v>
      </c>
      <c r="I78" s="12" t="n">
        <v>2480</v>
      </c>
    </row>
    <row r="79" customFormat="false" ht="15" hidden="false" customHeight="false" outlineLevel="0" collapsed="false">
      <c r="A79" s="10" t="s">
        <v>163</v>
      </c>
      <c r="B79" s="10" t="s">
        <v>164</v>
      </c>
      <c r="C79" s="10" t="s">
        <v>21</v>
      </c>
      <c r="D79" s="10" t="s">
        <v>11</v>
      </c>
      <c r="E79" s="10" t="s">
        <v>165</v>
      </c>
      <c r="F79" s="11" t="n">
        <v>5546505.1</v>
      </c>
      <c r="G79" s="11" t="n">
        <v>5292208.99</v>
      </c>
      <c r="H79" s="11" t="n">
        <v>3471600.13</v>
      </c>
      <c r="I79" s="12" t="n">
        <v>926</v>
      </c>
    </row>
    <row r="80" customFormat="false" ht="15" hidden="false" customHeight="false" outlineLevel="0" collapsed="false">
      <c r="A80" s="10" t="s">
        <v>166</v>
      </c>
      <c r="B80" s="10" t="s">
        <v>167</v>
      </c>
      <c r="C80" s="10" t="s">
        <v>25</v>
      </c>
      <c r="D80" s="10" t="s">
        <v>10</v>
      </c>
      <c r="E80" s="10" t="s">
        <v>33</v>
      </c>
      <c r="F80" s="11" t="n">
        <v>364045.34</v>
      </c>
      <c r="G80" s="11" t="n">
        <v>347965.7</v>
      </c>
      <c r="H80" s="11" t="n">
        <v>274197.9</v>
      </c>
      <c r="I80" s="12" t="n">
        <v>5262</v>
      </c>
    </row>
    <row r="81" customFormat="false" ht="15" hidden="false" customHeight="false" outlineLevel="0" collapsed="false">
      <c r="A81" s="10" t="s">
        <v>168</v>
      </c>
      <c r="B81" s="10" t="s">
        <v>169</v>
      </c>
      <c r="C81" s="10" t="s">
        <v>25</v>
      </c>
      <c r="D81" s="10" t="s">
        <v>13</v>
      </c>
      <c r="E81" s="10" t="s">
        <v>122</v>
      </c>
      <c r="F81" s="11" t="n">
        <v>4024578.61</v>
      </c>
      <c r="G81" s="11" t="n">
        <v>3745014.72</v>
      </c>
      <c r="H81" s="11" t="n">
        <v>2561447.46</v>
      </c>
      <c r="I81" s="12" t="n">
        <v>1165</v>
      </c>
    </row>
    <row r="82" customFormat="false" ht="15" hidden="false" customHeight="false" outlineLevel="0" collapsed="false">
      <c r="A82" s="10" t="s">
        <v>170</v>
      </c>
      <c r="B82" s="10" t="s">
        <v>171</v>
      </c>
      <c r="C82" s="10" t="s">
        <v>21</v>
      </c>
      <c r="D82" s="10" t="s">
        <v>10</v>
      </c>
      <c r="E82" s="10" t="s">
        <v>33</v>
      </c>
      <c r="F82" s="11" t="n">
        <v>1557808.06</v>
      </c>
      <c r="G82" s="11" t="n">
        <v>1483281.98</v>
      </c>
      <c r="H82" s="11" t="n">
        <v>1025562.71</v>
      </c>
      <c r="I82" s="12" t="n">
        <v>2119</v>
      </c>
    </row>
    <row r="83" customFormat="false" ht="15" hidden="false" customHeight="false" outlineLevel="0" collapsed="false">
      <c r="A83" s="10" t="s">
        <v>172</v>
      </c>
      <c r="B83" s="10" t="s">
        <v>173</v>
      </c>
      <c r="C83" s="10" t="s">
        <v>21</v>
      </c>
      <c r="D83" s="10" t="s">
        <v>12</v>
      </c>
      <c r="E83" s="10" t="s">
        <v>174</v>
      </c>
      <c r="F83" s="11" t="n">
        <v>1772255.09</v>
      </c>
      <c r="G83" s="11" t="n">
        <v>1721135.53</v>
      </c>
      <c r="H83" s="11" t="n">
        <v>1337021.77</v>
      </c>
      <c r="I83" s="12" t="n">
        <v>4050</v>
      </c>
    </row>
    <row r="84" customFormat="false" ht="15" hidden="false" customHeight="false" outlineLevel="0" collapsed="false">
      <c r="A84" s="10" t="s">
        <v>175</v>
      </c>
      <c r="B84" s="10" t="s">
        <v>176</v>
      </c>
      <c r="C84" s="10" t="s">
        <v>21</v>
      </c>
      <c r="D84" s="10" t="s">
        <v>13</v>
      </c>
      <c r="E84" s="10" t="s">
        <v>81</v>
      </c>
      <c r="F84" s="11" t="n">
        <v>3090272.54</v>
      </c>
      <c r="G84" s="11" t="n">
        <v>3081597.14</v>
      </c>
      <c r="H84" s="11" t="n">
        <v>2274599.79</v>
      </c>
      <c r="I84" s="12" t="n">
        <v>4971</v>
      </c>
    </row>
    <row r="85" customFormat="false" ht="15" hidden="false" customHeight="false" outlineLevel="0" collapsed="false">
      <c r="A85" s="10" t="s">
        <v>177</v>
      </c>
      <c r="B85" s="10" t="s">
        <v>178</v>
      </c>
      <c r="C85" s="10" t="s">
        <v>29</v>
      </c>
      <c r="D85" s="10" t="s">
        <v>10</v>
      </c>
      <c r="E85" s="10" t="s">
        <v>33</v>
      </c>
      <c r="F85" s="11" t="n">
        <v>3600734.03</v>
      </c>
      <c r="G85" s="11" t="n">
        <v>3355494.97</v>
      </c>
      <c r="H85" s="11" t="n">
        <v>2411333.72</v>
      </c>
      <c r="I85" s="12" t="n">
        <v>2539</v>
      </c>
    </row>
    <row r="86" customFormat="false" ht="15" hidden="false" customHeight="false" outlineLevel="0" collapsed="false">
      <c r="A86" s="10" t="s">
        <v>179</v>
      </c>
      <c r="B86" s="10" t="s">
        <v>180</v>
      </c>
      <c r="C86" s="10" t="s">
        <v>21</v>
      </c>
      <c r="D86" s="10" t="s">
        <v>12</v>
      </c>
      <c r="E86" s="10" t="s">
        <v>99</v>
      </c>
      <c r="F86" s="11" t="n">
        <v>3281218.45</v>
      </c>
      <c r="G86" s="11" t="n">
        <v>3242260.03</v>
      </c>
      <c r="H86" s="11" t="n">
        <v>2393245.08</v>
      </c>
      <c r="I86" s="12" t="n">
        <v>1433</v>
      </c>
    </row>
    <row r="87" customFormat="false" ht="15" hidden="false" customHeight="false" outlineLevel="0" collapsed="false">
      <c r="A87" s="10"/>
      <c r="B87" s="10" t="s">
        <v>181</v>
      </c>
      <c r="C87" s="10" t="s">
        <v>64</v>
      </c>
      <c r="D87" s="10" t="s">
        <v>12</v>
      </c>
      <c r="E87" s="10" t="s">
        <v>55</v>
      </c>
      <c r="F87" s="11" t="n">
        <v>2624377.31</v>
      </c>
      <c r="G87" s="11" t="n">
        <v>2584287.26</v>
      </c>
      <c r="H87" s="11" t="n">
        <v>2206841.31</v>
      </c>
      <c r="I87" s="12" t="n">
        <v>0</v>
      </c>
    </row>
    <row r="88" customFormat="false" ht="15" hidden="false" customHeight="false" outlineLevel="0" collapsed="false">
      <c r="A88" s="10" t="s">
        <v>182</v>
      </c>
      <c r="B88" s="10" t="s">
        <v>183</v>
      </c>
      <c r="C88" s="10" t="s">
        <v>21</v>
      </c>
      <c r="D88" s="10" t="s">
        <v>11</v>
      </c>
      <c r="E88" s="10" t="s">
        <v>39</v>
      </c>
      <c r="F88" s="11" t="n">
        <v>2225997.77</v>
      </c>
      <c r="G88" s="11" t="n">
        <v>2071168.56</v>
      </c>
      <c r="H88" s="11" t="n">
        <v>1651234.32</v>
      </c>
      <c r="I88" s="12" t="n">
        <v>6286</v>
      </c>
    </row>
    <row r="89" customFormat="false" ht="15" hidden="false" customHeight="false" outlineLevel="0" collapsed="false">
      <c r="A89" s="10" t="s">
        <v>184</v>
      </c>
      <c r="B89" s="10" t="s">
        <v>185</v>
      </c>
      <c r="C89" s="10" t="s">
        <v>21</v>
      </c>
      <c r="D89" s="10" t="s">
        <v>9</v>
      </c>
      <c r="E89" s="10" t="s">
        <v>130</v>
      </c>
      <c r="F89" s="11" t="n">
        <v>5364350.21</v>
      </c>
      <c r="G89" s="11" t="n">
        <v>5081500.04</v>
      </c>
      <c r="H89" s="11" t="n">
        <v>3334913.01</v>
      </c>
      <c r="I89" s="12" t="n">
        <v>8197</v>
      </c>
    </row>
    <row r="90" customFormat="false" ht="15" hidden="false" customHeight="false" outlineLevel="0" collapsed="false">
      <c r="A90" s="10" t="s">
        <v>186</v>
      </c>
      <c r="B90" s="10" t="s">
        <v>187</v>
      </c>
      <c r="C90" s="10" t="s">
        <v>25</v>
      </c>
      <c r="D90" s="10" t="s">
        <v>12</v>
      </c>
      <c r="E90" s="10" t="s">
        <v>36</v>
      </c>
      <c r="F90" s="11" t="n">
        <v>1441985.38</v>
      </c>
      <c r="G90" s="11" t="n">
        <v>1366834.36</v>
      </c>
      <c r="H90" s="11" t="n">
        <v>1052292.87</v>
      </c>
      <c r="I90" s="12" t="n">
        <v>5884</v>
      </c>
    </row>
    <row r="91" customFormat="false" ht="15" hidden="false" customHeight="false" outlineLevel="0" collapsed="false">
      <c r="A91" s="10" t="s">
        <v>188</v>
      </c>
      <c r="B91" s="10" t="s">
        <v>189</v>
      </c>
      <c r="C91" s="10" t="s">
        <v>21</v>
      </c>
      <c r="D91" s="10" t="s">
        <v>10</v>
      </c>
      <c r="E91" s="10" t="s">
        <v>30</v>
      </c>
      <c r="F91" s="11" t="n">
        <v>5725604.42</v>
      </c>
      <c r="G91" s="11" t="n">
        <v>5402074.74</v>
      </c>
      <c r="H91" s="11" t="n">
        <v>3864673.84</v>
      </c>
      <c r="I91" s="12" t="n">
        <v>1817</v>
      </c>
    </row>
    <row r="92" customFormat="false" ht="15" hidden="false" customHeight="false" outlineLevel="0" collapsed="false">
      <c r="A92" s="10" t="s">
        <v>190</v>
      </c>
      <c r="B92" s="10" t="s">
        <v>191</v>
      </c>
      <c r="C92" s="10" t="s">
        <v>21</v>
      </c>
      <c r="D92" s="10" t="s">
        <v>10</v>
      </c>
      <c r="E92" s="10" t="s">
        <v>30</v>
      </c>
      <c r="F92" s="11" t="n">
        <v>7272388.79</v>
      </c>
      <c r="G92" s="11" t="n">
        <v>6790567.4</v>
      </c>
      <c r="H92" s="11" t="n">
        <v>5203881.76</v>
      </c>
      <c r="I92" s="12" t="n">
        <v>4722</v>
      </c>
    </row>
    <row r="93" customFormat="false" ht="15" hidden="false" customHeight="false" outlineLevel="0" collapsed="false">
      <c r="A93" s="10" t="s">
        <v>192</v>
      </c>
      <c r="B93" s="10" t="s">
        <v>193</v>
      </c>
      <c r="C93" s="10" t="s">
        <v>29</v>
      </c>
      <c r="D93" s="10" t="s">
        <v>12</v>
      </c>
      <c r="E93" s="10" t="s">
        <v>68</v>
      </c>
      <c r="F93" s="11" t="n">
        <v>529593.18</v>
      </c>
      <c r="G93" s="11" t="n">
        <v>525569.87</v>
      </c>
      <c r="H93" s="11" t="n">
        <v>431104.57</v>
      </c>
      <c r="I93" s="12" t="n">
        <v>6092</v>
      </c>
    </row>
    <row r="94" customFormat="false" ht="15" hidden="false" customHeight="false" outlineLevel="0" collapsed="false">
      <c r="A94" s="10" t="s">
        <v>194</v>
      </c>
      <c r="B94" s="10" t="s">
        <v>195</v>
      </c>
      <c r="C94" s="10" t="s">
        <v>21</v>
      </c>
      <c r="D94" s="10" t="s">
        <v>12</v>
      </c>
      <c r="E94" s="10" t="s">
        <v>68</v>
      </c>
      <c r="F94" s="11" t="n">
        <v>5386097.95</v>
      </c>
      <c r="G94" s="11" t="n">
        <v>5042357.32</v>
      </c>
      <c r="H94" s="11" t="n">
        <v>3453502.5</v>
      </c>
      <c r="I94" s="12" t="n">
        <v>4322</v>
      </c>
    </row>
    <row r="95" customFormat="false" ht="15" hidden="false" customHeight="false" outlineLevel="0" collapsed="false">
      <c r="A95" s="10" t="s">
        <v>196</v>
      </c>
      <c r="B95" s="10" t="s">
        <v>197</v>
      </c>
      <c r="C95" s="10" t="s">
        <v>21</v>
      </c>
      <c r="D95" s="10" t="s">
        <v>9</v>
      </c>
      <c r="E95" s="10" t="s">
        <v>47</v>
      </c>
      <c r="F95" s="11" t="n">
        <v>5543440.28</v>
      </c>
      <c r="G95" s="11" t="n">
        <v>5540184.78</v>
      </c>
      <c r="H95" s="11" t="n">
        <v>4266992.85</v>
      </c>
      <c r="I95" s="12" t="n">
        <v>2858</v>
      </c>
    </row>
    <row r="96" customFormat="false" ht="15" hidden="false" customHeight="false" outlineLevel="0" collapsed="false">
      <c r="A96" s="10" t="s">
        <v>198</v>
      </c>
      <c r="B96" s="10" t="s">
        <v>199</v>
      </c>
      <c r="C96" s="10" t="s">
        <v>29</v>
      </c>
      <c r="D96" s="10" t="s">
        <v>9</v>
      </c>
      <c r="E96" s="10" t="s">
        <v>47</v>
      </c>
      <c r="F96" s="11" t="n">
        <v>6406324.91</v>
      </c>
      <c r="G96" s="11" t="n">
        <v>6007652.28</v>
      </c>
      <c r="H96" s="11" t="n">
        <v>4023563.53</v>
      </c>
      <c r="I96" s="12" t="n">
        <v>8535</v>
      </c>
    </row>
    <row r="97" customFormat="false" ht="15" hidden="false" customHeight="false" outlineLevel="0" collapsed="false">
      <c r="A97" s="10" t="s">
        <v>200</v>
      </c>
      <c r="B97" s="10" t="s">
        <v>201</v>
      </c>
      <c r="C97" s="10" t="s">
        <v>21</v>
      </c>
      <c r="D97" s="10" t="s">
        <v>12</v>
      </c>
      <c r="E97" s="10" t="s">
        <v>174</v>
      </c>
      <c r="F97" s="11" t="n">
        <v>3706967.57</v>
      </c>
      <c r="G97" s="11" t="n">
        <v>3545013.81</v>
      </c>
      <c r="H97" s="11" t="n">
        <v>3107127.99</v>
      </c>
      <c r="I97" s="12" t="n">
        <v>8141</v>
      </c>
    </row>
    <row r="98" customFormat="false" ht="15" hidden="false" customHeight="false" outlineLevel="0" collapsed="false">
      <c r="A98" s="10" t="s">
        <v>202</v>
      </c>
      <c r="B98" s="10" t="s">
        <v>203</v>
      </c>
      <c r="C98" s="10" t="s">
        <v>25</v>
      </c>
      <c r="D98" s="10" t="s">
        <v>12</v>
      </c>
      <c r="E98" s="10" t="s">
        <v>36</v>
      </c>
      <c r="F98" s="11" t="n">
        <v>883897.13</v>
      </c>
      <c r="G98" s="11" t="n">
        <v>870021.29</v>
      </c>
      <c r="H98" s="11" t="n">
        <v>722196.09</v>
      </c>
      <c r="I98" s="12" t="n">
        <v>3002</v>
      </c>
    </row>
    <row r="99" customFormat="false" ht="15" hidden="false" customHeight="false" outlineLevel="0" collapsed="false">
      <c r="A99" s="10" t="s">
        <v>204</v>
      </c>
      <c r="B99" s="10" t="s">
        <v>205</v>
      </c>
      <c r="C99" s="10" t="s">
        <v>29</v>
      </c>
      <c r="D99" s="10" t="s">
        <v>10</v>
      </c>
      <c r="E99" s="10" t="s">
        <v>33</v>
      </c>
      <c r="F99" s="11" t="n">
        <v>6543964.33</v>
      </c>
      <c r="G99" s="11" t="n">
        <v>6358855.46</v>
      </c>
      <c r="H99" s="11" t="n">
        <v>4786486.92</v>
      </c>
      <c r="I99" s="12" t="n">
        <v>7667</v>
      </c>
    </row>
    <row r="100" customFormat="false" ht="15" hidden="false" customHeight="false" outlineLevel="0" collapsed="false">
      <c r="A100" s="10" t="s">
        <v>206</v>
      </c>
      <c r="B100" s="10" t="s">
        <v>207</v>
      </c>
      <c r="C100" s="10" t="s">
        <v>25</v>
      </c>
      <c r="D100" s="10" t="s">
        <v>13</v>
      </c>
      <c r="E100" s="10" t="s">
        <v>22</v>
      </c>
      <c r="F100" s="11" t="n">
        <v>7054709.09</v>
      </c>
      <c r="G100" s="11" t="n">
        <v>6951713.36</v>
      </c>
      <c r="H100" s="11" t="n">
        <v>6000263.29</v>
      </c>
      <c r="I100" s="12" t="n">
        <v>2874</v>
      </c>
    </row>
    <row r="101" customFormat="false" ht="15" hidden="false" customHeight="false" outlineLevel="0" collapsed="false">
      <c r="A101" s="10" t="s">
        <v>208</v>
      </c>
      <c r="B101" s="10" t="s">
        <v>209</v>
      </c>
      <c r="C101" s="10" t="s">
        <v>21</v>
      </c>
      <c r="D101" s="10" t="s">
        <v>10</v>
      </c>
      <c r="E101" s="10" t="s">
        <v>30</v>
      </c>
      <c r="F101" s="11" t="n">
        <v>6713224.12</v>
      </c>
      <c r="G101" s="11" t="n">
        <v>6313962.21</v>
      </c>
      <c r="H101" s="11" t="n">
        <v>5544146.44</v>
      </c>
      <c r="I101" s="12" t="n">
        <v>3457</v>
      </c>
    </row>
    <row r="102" customFormat="false" ht="15" hidden="false" customHeight="false" outlineLevel="0" collapsed="false">
      <c r="A102" s="10" t="s">
        <v>210</v>
      </c>
      <c r="B102" s="10" t="s">
        <v>211</v>
      </c>
      <c r="C102" s="10" t="s">
        <v>29</v>
      </c>
      <c r="D102" s="10" t="s">
        <v>12</v>
      </c>
      <c r="E102" s="10" t="s">
        <v>90</v>
      </c>
      <c r="F102" s="11" t="n">
        <v>7007318.54</v>
      </c>
      <c r="G102" s="11" t="n">
        <v>6637663.12</v>
      </c>
      <c r="H102" s="11" t="n">
        <v>4527104.55</v>
      </c>
      <c r="I102" s="12" t="n">
        <v>6220</v>
      </c>
    </row>
    <row r="103" customFormat="false" ht="15" hidden="false" customHeight="false" outlineLevel="0" collapsed="false">
      <c r="A103" s="10" t="s">
        <v>212</v>
      </c>
      <c r="B103" s="10" t="s">
        <v>213</v>
      </c>
      <c r="C103" s="10" t="s">
        <v>21</v>
      </c>
      <c r="D103" s="10" t="s">
        <v>12</v>
      </c>
      <c r="E103" s="10" t="s">
        <v>55</v>
      </c>
      <c r="F103" s="11" t="n">
        <v>5781610.64</v>
      </c>
      <c r="G103" s="11" t="n">
        <v>5391590.79</v>
      </c>
      <c r="H103" s="11" t="n">
        <v>4442902.44</v>
      </c>
      <c r="I103" s="12" t="n">
        <v>4607</v>
      </c>
    </row>
    <row r="104" customFormat="false" ht="15" hidden="false" customHeight="false" outlineLevel="0" collapsed="false">
      <c r="A104" s="10" t="s">
        <v>214</v>
      </c>
      <c r="B104" s="10" t="s">
        <v>215</v>
      </c>
      <c r="C104" s="10" t="s">
        <v>21</v>
      </c>
      <c r="D104" s="10" t="s">
        <v>12</v>
      </c>
      <c r="E104" s="10" t="s">
        <v>174</v>
      </c>
      <c r="F104" s="11" t="n">
        <v>7110063.6</v>
      </c>
      <c r="G104" s="11" t="n">
        <v>7013870.28</v>
      </c>
      <c r="H104" s="11" t="n">
        <v>5595501.98</v>
      </c>
      <c r="I104" s="12" t="n">
        <v>5433</v>
      </c>
    </row>
    <row r="105" customFormat="false" ht="15" hidden="false" customHeight="false" outlineLevel="0" collapsed="false">
      <c r="A105" s="10" t="s">
        <v>216</v>
      </c>
      <c r="B105" s="10" t="s">
        <v>217</v>
      </c>
      <c r="C105" s="10" t="s">
        <v>21</v>
      </c>
      <c r="D105" s="10" t="s">
        <v>12</v>
      </c>
      <c r="E105" s="10" t="s">
        <v>90</v>
      </c>
      <c r="F105" s="11" t="n">
        <v>5869154.42</v>
      </c>
      <c r="G105" s="11" t="n">
        <v>5795177.16</v>
      </c>
      <c r="H105" s="10" t="s">
        <v>117</v>
      </c>
      <c r="I105" s="12" t="n">
        <v>6172</v>
      </c>
    </row>
    <row r="106" customFormat="false" ht="15" hidden="false" customHeight="false" outlineLevel="0" collapsed="false">
      <c r="A106" s="10" t="s">
        <v>218</v>
      </c>
      <c r="B106" s="10" t="s">
        <v>219</v>
      </c>
      <c r="C106" s="10" t="s">
        <v>21</v>
      </c>
      <c r="D106" s="10" t="s">
        <v>9</v>
      </c>
      <c r="E106" s="10" t="s">
        <v>220</v>
      </c>
      <c r="F106" s="11" t="n">
        <v>3526932.1</v>
      </c>
      <c r="G106" s="11" t="n">
        <v>3520148.39</v>
      </c>
      <c r="H106" s="11" t="n">
        <v>2314774.92</v>
      </c>
      <c r="I106" s="12" t="n">
        <v>4678</v>
      </c>
    </row>
    <row r="107" customFormat="false" ht="15" hidden="false" customHeight="false" outlineLevel="0" collapsed="false">
      <c r="A107" s="10" t="s">
        <v>221</v>
      </c>
      <c r="B107" s="10" t="s">
        <v>222</v>
      </c>
      <c r="C107" s="10" t="s">
        <v>25</v>
      </c>
      <c r="D107" s="10" t="s">
        <v>10</v>
      </c>
      <c r="E107" s="10" t="s">
        <v>30</v>
      </c>
      <c r="F107" s="11" t="n">
        <v>1932810.05</v>
      </c>
      <c r="G107" s="11" t="n">
        <v>1846466.56</v>
      </c>
      <c r="H107" s="11" t="n">
        <v>1290317.77</v>
      </c>
      <c r="I107" s="12" t="n">
        <v>3025</v>
      </c>
    </row>
    <row r="108" customFormat="false" ht="15" hidden="false" customHeight="false" outlineLevel="0" collapsed="false">
      <c r="A108" s="10" t="s">
        <v>223</v>
      </c>
      <c r="B108" s="10" t="s">
        <v>224</v>
      </c>
      <c r="C108" s="10" t="s">
        <v>29</v>
      </c>
      <c r="D108" s="10" t="s">
        <v>11</v>
      </c>
      <c r="E108" s="10" t="s">
        <v>71</v>
      </c>
      <c r="F108" s="11" t="n">
        <v>6000220.94</v>
      </c>
      <c r="G108" s="11" t="n">
        <v>5979044.94</v>
      </c>
      <c r="H108" s="11" t="n">
        <v>4734195.91</v>
      </c>
      <c r="I108" s="12" t="n">
        <v>506</v>
      </c>
    </row>
    <row r="109" customFormat="false" ht="15" hidden="false" customHeight="false" outlineLevel="0" collapsed="false">
      <c r="A109" s="10" t="s">
        <v>225</v>
      </c>
      <c r="B109" s="10" t="s">
        <v>226</v>
      </c>
      <c r="C109" s="10" t="s">
        <v>25</v>
      </c>
      <c r="D109" s="10" t="s">
        <v>9</v>
      </c>
      <c r="E109" s="10" t="s">
        <v>154</v>
      </c>
      <c r="F109" s="11" t="n">
        <v>1078525.26</v>
      </c>
      <c r="G109" s="11" t="n">
        <v>1007396.24</v>
      </c>
      <c r="H109" s="11" t="n">
        <v>867220.96</v>
      </c>
      <c r="I109" s="12" t="n">
        <v>4169</v>
      </c>
    </row>
    <row r="110" customFormat="false" ht="15" hidden="false" customHeight="false" outlineLevel="0" collapsed="false">
      <c r="A110" s="10" t="s">
        <v>227</v>
      </c>
      <c r="B110" s="10" t="s">
        <v>228</v>
      </c>
      <c r="C110" s="10" t="s">
        <v>25</v>
      </c>
      <c r="D110" s="10" t="s">
        <v>9</v>
      </c>
      <c r="E110" s="10" t="s">
        <v>65</v>
      </c>
      <c r="F110" s="11" t="n">
        <v>6379331.92</v>
      </c>
      <c r="G110" s="11" t="n">
        <v>5973368.14</v>
      </c>
      <c r="H110" s="11" t="n">
        <v>4911161.18</v>
      </c>
      <c r="I110" s="12" t="n">
        <v>3952</v>
      </c>
    </row>
    <row r="111" customFormat="false" ht="15" hidden="false" customHeight="false" outlineLevel="0" collapsed="false">
      <c r="A111" s="10" t="s">
        <v>229</v>
      </c>
      <c r="B111" s="10" t="s">
        <v>230</v>
      </c>
      <c r="C111" s="10" t="s">
        <v>25</v>
      </c>
      <c r="D111" s="10" t="s">
        <v>10</v>
      </c>
      <c r="E111" s="10" t="s">
        <v>30</v>
      </c>
      <c r="F111" s="11" t="n">
        <v>5567867.65</v>
      </c>
      <c r="G111" s="11" t="n">
        <v>5271300.11</v>
      </c>
      <c r="H111" s="11" t="n">
        <v>3884285.97</v>
      </c>
      <c r="I111" s="12" t="n">
        <v>7584</v>
      </c>
    </row>
    <row r="112" customFormat="false" ht="15" hidden="false" customHeight="false" outlineLevel="0" collapsed="false">
      <c r="A112" s="10" t="s">
        <v>231</v>
      </c>
      <c r="B112" s="10" t="s">
        <v>232</v>
      </c>
      <c r="C112" s="10" t="s">
        <v>25</v>
      </c>
      <c r="D112" s="10" t="s">
        <v>11</v>
      </c>
      <c r="E112" s="10" t="s">
        <v>58</v>
      </c>
      <c r="F112" s="11" t="n">
        <v>5258952.67</v>
      </c>
      <c r="G112" s="11" t="n">
        <v>5200546.07</v>
      </c>
      <c r="H112" s="11" t="n">
        <v>3632415.68</v>
      </c>
      <c r="I112" s="12" t="n">
        <v>5219</v>
      </c>
    </row>
    <row r="113" customFormat="false" ht="15" hidden="false" customHeight="false" outlineLevel="0" collapsed="false">
      <c r="A113" s="10" t="s">
        <v>233</v>
      </c>
      <c r="B113" s="10" t="s">
        <v>234</v>
      </c>
      <c r="C113" s="10" t="s">
        <v>25</v>
      </c>
      <c r="D113" s="10" t="s">
        <v>12</v>
      </c>
      <c r="E113" s="10" t="s">
        <v>90</v>
      </c>
      <c r="F113" s="11" t="n">
        <v>7276558.99</v>
      </c>
      <c r="G113" s="11" t="n">
        <v>7257007.42</v>
      </c>
      <c r="H113" s="11" t="n">
        <v>5661323.13</v>
      </c>
      <c r="I113" s="12" t="n">
        <v>773</v>
      </c>
    </row>
    <row r="114" customFormat="false" ht="15" hidden="false" customHeight="false" outlineLevel="0" collapsed="false">
      <c r="A114" s="10" t="s">
        <v>235</v>
      </c>
      <c r="B114" s="10" t="s">
        <v>236</v>
      </c>
      <c r="C114" s="10" t="s">
        <v>29</v>
      </c>
      <c r="D114" s="10" t="s">
        <v>9</v>
      </c>
      <c r="E114" s="10" t="s">
        <v>154</v>
      </c>
      <c r="F114" s="11" t="n">
        <v>6800346.49</v>
      </c>
      <c r="G114" s="11" t="n">
        <v>6775621.66</v>
      </c>
      <c r="H114" s="11" t="n">
        <v>4392076.09</v>
      </c>
      <c r="I114" s="12" t="n">
        <v>6807</v>
      </c>
    </row>
    <row r="115" customFormat="false" ht="15" hidden="false" customHeight="false" outlineLevel="0" collapsed="false">
      <c r="A115" s="10" t="s">
        <v>237</v>
      </c>
      <c r="B115" s="10" t="s">
        <v>238</v>
      </c>
      <c r="C115" s="10" t="s">
        <v>21</v>
      </c>
      <c r="D115" s="10" t="s">
        <v>10</v>
      </c>
      <c r="E115" s="10" t="s">
        <v>33</v>
      </c>
      <c r="F115" s="11" t="n">
        <v>5197227.5</v>
      </c>
      <c r="G115" s="11" t="n">
        <v>4878115.41</v>
      </c>
      <c r="H115" s="11" t="n">
        <v>3217596.76</v>
      </c>
      <c r="I115" s="12" t="n">
        <v>6088</v>
      </c>
    </row>
    <row r="116" customFormat="false" ht="15" hidden="false" customHeight="false" outlineLevel="0" collapsed="false">
      <c r="A116" s="10" t="s">
        <v>239</v>
      </c>
      <c r="B116" s="10" t="s">
        <v>240</v>
      </c>
      <c r="C116" s="10" t="s">
        <v>21</v>
      </c>
      <c r="D116" s="10" t="s">
        <v>11</v>
      </c>
      <c r="E116" s="10" t="s">
        <v>165</v>
      </c>
      <c r="F116" s="11" t="n">
        <v>3242402.9</v>
      </c>
      <c r="G116" s="11" t="n">
        <v>3227154.23</v>
      </c>
      <c r="H116" s="11" t="n">
        <v>2204329.52</v>
      </c>
      <c r="I116" s="12" t="n">
        <v>5719</v>
      </c>
    </row>
    <row r="117" customFormat="false" ht="15" hidden="false" customHeight="false" outlineLevel="0" collapsed="false">
      <c r="A117" s="10" t="s">
        <v>241</v>
      </c>
      <c r="B117" s="10" t="s">
        <v>242</v>
      </c>
      <c r="C117" s="10" t="s">
        <v>21</v>
      </c>
      <c r="D117" s="10" t="s">
        <v>12</v>
      </c>
      <c r="E117" s="10" t="s">
        <v>68</v>
      </c>
      <c r="F117" s="11" t="n">
        <v>2593381.99</v>
      </c>
      <c r="G117" s="11" t="n">
        <v>2433168.24</v>
      </c>
      <c r="H117" s="11" t="n">
        <v>2098971.51</v>
      </c>
      <c r="I117" s="12" t="n">
        <v>5992</v>
      </c>
    </row>
    <row r="118" customFormat="false" ht="15" hidden="false" customHeight="false" outlineLevel="0" collapsed="false">
      <c r="A118" s="10" t="s">
        <v>243</v>
      </c>
      <c r="B118" s="10" t="s">
        <v>244</v>
      </c>
      <c r="C118" s="10" t="s">
        <v>21</v>
      </c>
      <c r="D118" s="10" t="s">
        <v>9</v>
      </c>
      <c r="E118" s="10" t="s">
        <v>47</v>
      </c>
      <c r="F118" s="11" t="n">
        <v>2275551.14</v>
      </c>
      <c r="G118" s="11" t="n">
        <v>2190967.35</v>
      </c>
      <c r="H118" s="11" t="n">
        <v>1665991.55</v>
      </c>
      <c r="I118" s="12" t="n">
        <v>1741</v>
      </c>
    </row>
    <row r="119" customFormat="false" ht="15" hidden="false" customHeight="false" outlineLevel="0" collapsed="false">
      <c r="A119" s="10" t="s">
        <v>245</v>
      </c>
      <c r="B119" s="10" t="s">
        <v>246</v>
      </c>
      <c r="C119" s="10" t="s">
        <v>29</v>
      </c>
      <c r="D119" s="10" t="s">
        <v>12</v>
      </c>
      <c r="E119" s="10" t="s">
        <v>55</v>
      </c>
      <c r="F119" s="11" t="n">
        <v>2848263.46</v>
      </c>
      <c r="G119" s="11" t="n">
        <v>2732920.06</v>
      </c>
      <c r="H119" s="11" t="n">
        <v>2426002.04</v>
      </c>
      <c r="I119" s="12" t="n">
        <v>2364</v>
      </c>
    </row>
    <row r="120" customFormat="false" ht="15" hidden="false" customHeight="false" outlineLevel="0" collapsed="false">
      <c r="A120" s="10" t="s">
        <v>247</v>
      </c>
      <c r="B120" s="10" t="s">
        <v>248</v>
      </c>
      <c r="C120" s="10" t="s">
        <v>21</v>
      </c>
      <c r="D120" s="10" t="s">
        <v>10</v>
      </c>
      <c r="E120" s="10" t="s">
        <v>30</v>
      </c>
      <c r="F120" s="11" t="n">
        <v>4556479.23</v>
      </c>
      <c r="G120" s="11" t="n">
        <v>4459590.41</v>
      </c>
      <c r="H120" s="11" t="n">
        <v>3118821.52</v>
      </c>
      <c r="I120" s="12" t="n">
        <v>4341</v>
      </c>
    </row>
    <row r="121" customFormat="false" ht="15" hidden="false" customHeight="false" outlineLevel="0" collapsed="false">
      <c r="A121" s="10" t="s">
        <v>249</v>
      </c>
      <c r="B121" s="10" t="s">
        <v>250</v>
      </c>
      <c r="C121" s="10" t="s">
        <v>25</v>
      </c>
      <c r="D121" s="10" t="s">
        <v>13</v>
      </c>
      <c r="E121" s="10" t="s">
        <v>143</v>
      </c>
      <c r="F121" s="11" t="n">
        <v>5540713.4</v>
      </c>
      <c r="G121" s="11" t="n">
        <v>5243545.64</v>
      </c>
      <c r="H121" s="11" t="n">
        <v>3952843.52</v>
      </c>
      <c r="I121" s="12" t="n">
        <v>832</v>
      </c>
    </row>
    <row r="122" customFormat="false" ht="15" hidden="false" customHeight="false" outlineLevel="0" collapsed="false">
      <c r="A122" s="10" t="s">
        <v>251</v>
      </c>
      <c r="B122" s="10" t="s">
        <v>252</v>
      </c>
      <c r="C122" s="10" t="s">
        <v>21</v>
      </c>
      <c r="D122" s="10" t="s">
        <v>10</v>
      </c>
      <c r="E122" s="10" t="s">
        <v>30</v>
      </c>
      <c r="F122" s="11" t="n">
        <v>3499163.69</v>
      </c>
      <c r="G122" s="11" t="n">
        <v>3397400.86</v>
      </c>
      <c r="H122" s="11" t="n">
        <v>2692017.81</v>
      </c>
      <c r="I122" s="12" t="n">
        <v>8543</v>
      </c>
    </row>
    <row r="123" customFormat="false" ht="15" hidden="false" customHeight="false" outlineLevel="0" collapsed="false">
      <c r="A123" s="10" t="s">
        <v>253</v>
      </c>
      <c r="B123" s="10" t="s">
        <v>254</v>
      </c>
      <c r="C123" s="10" t="s">
        <v>25</v>
      </c>
      <c r="D123" s="10" t="s">
        <v>13</v>
      </c>
      <c r="E123" s="10" t="s">
        <v>122</v>
      </c>
      <c r="F123" s="11" t="n">
        <v>2221397.28</v>
      </c>
      <c r="G123" s="11" t="n">
        <v>2150907.62</v>
      </c>
      <c r="H123" s="11" t="n">
        <v>1479068.3</v>
      </c>
      <c r="I123" s="12" t="n">
        <v>1209</v>
      </c>
    </row>
    <row r="124" customFormat="false" ht="15" hidden="false" customHeight="false" outlineLevel="0" collapsed="false">
      <c r="A124" s="10" t="s">
        <v>255</v>
      </c>
      <c r="B124" s="10" t="s">
        <v>256</v>
      </c>
      <c r="C124" s="10" t="s">
        <v>25</v>
      </c>
      <c r="D124" s="10" t="s">
        <v>13</v>
      </c>
      <c r="E124" s="10" t="s">
        <v>22</v>
      </c>
      <c r="F124" s="11" t="n">
        <v>3150008.39</v>
      </c>
      <c r="G124" s="11" t="n">
        <v>3134760.62</v>
      </c>
      <c r="H124" s="11" t="n">
        <v>2113566.92</v>
      </c>
      <c r="I124" s="12" t="n">
        <v>1252</v>
      </c>
    </row>
    <row r="125" customFormat="false" ht="15" hidden="false" customHeight="false" outlineLevel="0" collapsed="false">
      <c r="A125" s="10" t="s">
        <v>257</v>
      </c>
      <c r="B125" s="10" t="s">
        <v>258</v>
      </c>
      <c r="C125" s="10" t="s">
        <v>21</v>
      </c>
      <c r="D125" s="10" t="s">
        <v>9</v>
      </c>
      <c r="E125" s="10" t="s">
        <v>127</v>
      </c>
      <c r="F125" s="11" t="n">
        <v>2581422.42</v>
      </c>
      <c r="G125" s="11" t="n">
        <v>2547852.76</v>
      </c>
      <c r="H125" s="11" t="n">
        <v>1892075.47</v>
      </c>
      <c r="I125" s="12" t="n">
        <v>8055</v>
      </c>
    </row>
    <row r="126" customFormat="false" ht="15" hidden="false" customHeight="false" outlineLevel="0" collapsed="false">
      <c r="A126" s="10" t="s">
        <v>259</v>
      </c>
      <c r="B126" s="10" t="s">
        <v>260</v>
      </c>
      <c r="C126" s="10" t="s">
        <v>25</v>
      </c>
      <c r="D126" s="10" t="s">
        <v>9</v>
      </c>
      <c r="E126" s="10" t="s">
        <v>47</v>
      </c>
      <c r="F126" s="11" t="n">
        <v>5338137.58</v>
      </c>
      <c r="G126" s="11" t="n">
        <v>5237538.14</v>
      </c>
      <c r="H126" s="11" t="n">
        <v>4500647.53</v>
      </c>
      <c r="I126" s="12" t="n">
        <v>2073</v>
      </c>
    </row>
    <row r="127" customFormat="false" ht="15" hidden="false" customHeight="false" outlineLevel="0" collapsed="false">
      <c r="A127" s="10" t="s">
        <v>261</v>
      </c>
      <c r="B127" s="10" t="s">
        <v>262</v>
      </c>
      <c r="C127" s="10" t="s">
        <v>21</v>
      </c>
      <c r="D127" s="10" t="s">
        <v>11</v>
      </c>
      <c r="E127" s="10" t="s">
        <v>71</v>
      </c>
      <c r="F127" s="11" t="n">
        <v>3760596.12</v>
      </c>
      <c r="G127" s="11" t="n">
        <v>3643640.89</v>
      </c>
      <c r="H127" s="11" t="n">
        <v>2890079.85</v>
      </c>
      <c r="I127" s="12" t="n">
        <v>1880</v>
      </c>
    </row>
    <row r="128" customFormat="false" ht="15" hidden="false" customHeight="false" outlineLevel="0" collapsed="false">
      <c r="A128" s="10" t="s">
        <v>263</v>
      </c>
      <c r="B128" s="10" t="s">
        <v>264</v>
      </c>
      <c r="C128" s="10" t="s">
        <v>21</v>
      </c>
      <c r="D128" s="10" t="s">
        <v>13</v>
      </c>
      <c r="E128" s="10" t="s">
        <v>265</v>
      </c>
      <c r="F128" s="11" t="n">
        <v>7467416.23</v>
      </c>
      <c r="G128" s="11" t="n">
        <v>7385612.91</v>
      </c>
      <c r="H128" s="11" t="n">
        <v>5633671.39</v>
      </c>
      <c r="I128" s="12" t="n">
        <v>6992</v>
      </c>
    </row>
    <row r="129" customFormat="false" ht="15" hidden="false" customHeight="false" outlineLevel="0" collapsed="false">
      <c r="A129" s="10" t="s">
        <v>266</v>
      </c>
      <c r="B129" s="10" t="s">
        <v>267</v>
      </c>
      <c r="C129" s="10" t="s">
        <v>29</v>
      </c>
      <c r="D129" s="10" t="s">
        <v>11</v>
      </c>
      <c r="E129" s="10" t="s">
        <v>58</v>
      </c>
      <c r="F129" s="11" t="n">
        <v>780488.09</v>
      </c>
      <c r="G129" s="11" t="n">
        <v>758500.27</v>
      </c>
      <c r="H129" s="11" t="n">
        <v>504760.72</v>
      </c>
      <c r="I129" s="12" t="n">
        <v>3693</v>
      </c>
    </row>
    <row r="130" customFormat="false" ht="15" hidden="false" customHeight="false" outlineLevel="0" collapsed="false">
      <c r="A130" s="10" t="s">
        <v>268</v>
      </c>
      <c r="B130" s="10" t="s">
        <v>269</v>
      </c>
      <c r="C130" s="10" t="s">
        <v>21</v>
      </c>
      <c r="D130" s="10" t="s">
        <v>9</v>
      </c>
      <c r="E130" s="10" t="s">
        <v>130</v>
      </c>
      <c r="F130" s="11" t="n">
        <v>6287666.13</v>
      </c>
      <c r="G130" s="11" t="n">
        <v>5945609.89</v>
      </c>
      <c r="H130" s="11" t="n">
        <v>3811176.6</v>
      </c>
      <c r="I130" s="12" t="n">
        <v>2195</v>
      </c>
    </row>
    <row r="131" customFormat="false" ht="15" hidden="false" customHeight="false" outlineLevel="0" collapsed="false">
      <c r="A131" s="10" t="s">
        <v>270</v>
      </c>
      <c r="B131" s="10" t="s">
        <v>271</v>
      </c>
      <c r="C131" s="10" t="s">
        <v>21</v>
      </c>
      <c r="D131" s="10" t="s">
        <v>13</v>
      </c>
      <c r="E131" s="10" t="s">
        <v>81</v>
      </c>
      <c r="F131" s="11" t="n">
        <v>2592250.65</v>
      </c>
      <c r="G131" s="11" t="n">
        <v>2546684.69</v>
      </c>
      <c r="H131" s="11" t="n">
        <v>1769897.19</v>
      </c>
      <c r="I131" s="12" t="n">
        <v>5494</v>
      </c>
    </row>
    <row r="132" customFormat="false" ht="15" hidden="false" customHeight="false" outlineLevel="0" collapsed="false">
      <c r="A132" s="10" t="s">
        <v>272</v>
      </c>
      <c r="B132" s="10" t="s">
        <v>273</v>
      </c>
      <c r="C132" s="10" t="s">
        <v>25</v>
      </c>
      <c r="D132" s="10" t="s">
        <v>9</v>
      </c>
      <c r="E132" s="10" t="s">
        <v>130</v>
      </c>
      <c r="F132" s="11" t="n">
        <v>5878507.88</v>
      </c>
      <c r="G132" s="11" t="n">
        <v>5757127.71</v>
      </c>
      <c r="H132" s="11" t="n">
        <v>3560946.36</v>
      </c>
      <c r="I132" s="12" t="n">
        <v>1196</v>
      </c>
    </row>
    <row r="133" customFormat="false" ht="15" hidden="false" customHeight="false" outlineLevel="0" collapsed="false">
      <c r="A133" s="10" t="s">
        <v>274</v>
      </c>
      <c r="B133" s="10" t="s">
        <v>275</v>
      </c>
      <c r="C133" s="10" t="s">
        <v>25</v>
      </c>
      <c r="D133" s="10" t="s">
        <v>13</v>
      </c>
      <c r="E133" s="10" t="s">
        <v>81</v>
      </c>
      <c r="F133" s="11" t="n">
        <v>1816635.78</v>
      </c>
      <c r="G133" s="11" t="n">
        <v>1734833.29</v>
      </c>
      <c r="H133" s="11" t="n">
        <v>1341200.93</v>
      </c>
      <c r="I133" s="12" t="n">
        <v>3850</v>
      </c>
    </row>
    <row r="134" customFormat="false" ht="15" hidden="false" customHeight="false" outlineLevel="0" collapsed="false">
      <c r="A134" s="10" t="s">
        <v>276</v>
      </c>
      <c r="B134" s="10" t="s">
        <v>277</v>
      </c>
      <c r="C134" s="10" t="s">
        <v>21</v>
      </c>
      <c r="D134" s="10" t="s">
        <v>12</v>
      </c>
      <c r="E134" s="10" t="s">
        <v>90</v>
      </c>
      <c r="F134" s="11" t="n">
        <v>2232462.99</v>
      </c>
      <c r="G134" s="11" t="n">
        <v>2154947.12</v>
      </c>
      <c r="H134" s="11" t="n">
        <v>1367774.18</v>
      </c>
      <c r="I134" s="12" t="n">
        <v>1428</v>
      </c>
    </row>
    <row r="135" customFormat="false" ht="15" hidden="false" customHeight="false" outlineLevel="0" collapsed="false">
      <c r="A135" s="10" t="s">
        <v>278</v>
      </c>
      <c r="B135" s="10" t="s">
        <v>279</v>
      </c>
      <c r="C135" s="10" t="s">
        <v>21</v>
      </c>
      <c r="D135" s="10" t="s">
        <v>12</v>
      </c>
      <c r="E135" s="10" t="s">
        <v>90</v>
      </c>
      <c r="F135" s="11" t="n">
        <v>2426277.18</v>
      </c>
      <c r="G135" s="11" t="n">
        <v>2344372.26</v>
      </c>
      <c r="H135" s="11" t="n">
        <v>1496946.5</v>
      </c>
      <c r="I135" s="12" t="n">
        <v>452</v>
      </c>
    </row>
    <row r="136" customFormat="false" ht="15" hidden="false" customHeight="false" outlineLevel="0" collapsed="false">
      <c r="A136" s="10" t="s">
        <v>280</v>
      </c>
      <c r="B136" s="10" t="s">
        <v>281</v>
      </c>
      <c r="C136" s="10" t="s">
        <v>25</v>
      </c>
      <c r="D136" s="10" t="s">
        <v>10</v>
      </c>
      <c r="E136" s="10" t="s">
        <v>30</v>
      </c>
      <c r="F136" s="11" t="n">
        <v>2420759.81</v>
      </c>
      <c r="G136" s="11" t="n">
        <v>2349300.19</v>
      </c>
      <c r="H136" s="11" t="n">
        <v>1455944.52</v>
      </c>
      <c r="I136" s="12" t="n">
        <v>5811</v>
      </c>
    </row>
    <row r="137" customFormat="false" ht="15" hidden="false" customHeight="false" outlineLevel="0" collapsed="false">
      <c r="A137" s="10" t="s">
        <v>282</v>
      </c>
      <c r="B137" s="10" t="s">
        <v>283</v>
      </c>
      <c r="C137" s="10" t="s">
        <v>21</v>
      </c>
      <c r="D137" s="10" t="s">
        <v>12</v>
      </c>
      <c r="E137" s="10" t="s">
        <v>68</v>
      </c>
      <c r="F137" s="11" t="n">
        <v>3959467.3</v>
      </c>
      <c r="G137" s="11" t="n">
        <v>3710331.73</v>
      </c>
      <c r="H137" s="11" t="n">
        <v>3257377.31</v>
      </c>
      <c r="I137" s="12" t="n">
        <v>6354</v>
      </c>
    </row>
    <row r="138" customFormat="false" ht="15" hidden="false" customHeight="false" outlineLevel="0" collapsed="false">
      <c r="A138" s="10" t="s">
        <v>284</v>
      </c>
      <c r="B138" s="10" t="s">
        <v>285</v>
      </c>
      <c r="C138" s="10" t="s">
        <v>21</v>
      </c>
      <c r="D138" s="10" t="s">
        <v>11</v>
      </c>
      <c r="E138" s="10" t="s">
        <v>58</v>
      </c>
      <c r="F138" s="11" t="n">
        <v>2208950.48</v>
      </c>
      <c r="G138" s="11" t="n">
        <v>2060704.05</v>
      </c>
      <c r="H138" s="11" t="n">
        <v>1510361.85</v>
      </c>
      <c r="I138" s="12" t="n">
        <v>4568</v>
      </c>
    </row>
    <row r="139" customFormat="false" ht="15" hidden="false" customHeight="false" outlineLevel="0" collapsed="false">
      <c r="A139" s="10" t="s">
        <v>286</v>
      </c>
      <c r="B139" s="10" t="s">
        <v>287</v>
      </c>
      <c r="C139" s="10" t="s">
        <v>25</v>
      </c>
      <c r="D139" s="10" t="s">
        <v>12</v>
      </c>
      <c r="E139" s="10" t="s">
        <v>55</v>
      </c>
      <c r="F139" s="11" t="n">
        <v>1558438.04</v>
      </c>
      <c r="G139" s="11" t="n">
        <v>1523196.93</v>
      </c>
      <c r="H139" s="11" t="n">
        <v>1334713.7</v>
      </c>
      <c r="I139" s="12" t="n">
        <v>6434</v>
      </c>
    </row>
    <row r="140" customFormat="false" ht="15" hidden="false" customHeight="false" outlineLevel="0" collapsed="false">
      <c r="A140" s="10" t="s">
        <v>288</v>
      </c>
      <c r="B140" s="10" t="s">
        <v>289</v>
      </c>
      <c r="C140" s="10" t="s">
        <v>29</v>
      </c>
      <c r="D140" s="10" t="s">
        <v>9</v>
      </c>
      <c r="E140" s="10" t="s">
        <v>154</v>
      </c>
      <c r="F140" s="11" t="n">
        <v>5017989.31</v>
      </c>
      <c r="G140" s="11" t="n">
        <v>4688067.29</v>
      </c>
      <c r="H140" s="11" t="n">
        <v>3421181.22</v>
      </c>
      <c r="I140" s="12" t="n">
        <v>5474</v>
      </c>
    </row>
    <row r="141" customFormat="false" ht="15" hidden="false" customHeight="false" outlineLevel="0" collapsed="false">
      <c r="A141" s="10" t="s">
        <v>290</v>
      </c>
      <c r="B141" s="10" t="s">
        <v>291</v>
      </c>
      <c r="C141" s="10" t="s">
        <v>21</v>
      </c>
      <c r="D141" s="10" t="s">
        <v>12</v>
      </c>
      <c r="E141" s="10" t="s">
        <v>36</v>
      </c>
      <c r="F141" s="11" t="n">
        <v>810903.36</v>
      </c>
      <c r="G141" s="11" t="n">
        <v>808498.54</v>
      </c>
      <c r="H141" s="11" t="n">
        <v>622051.45</v>
      </c>
      <c r="I141" s="12" t="n">
        <v>1429</v>
      </c>
    </row>
    <row r="142" customFormat="false" ht="15" hidden="false" customHeight="false" outlineLevel="0" collapsed="false">
      <c r="A142" s="10" t="s">
        <v>292</v>
      </c>
      <c r="B142" s="10" t="s">
        <v>293</v>
      </c>
      <c r="C142" s="10" t="s">
        <v>21</v>
      </c>
      <c r="D142" s="10" t="s">
        <v>9</v>
      </c>
      <c r="E142" s="10" t="s">
        <v>65</v>
      </c>
      <c r="F142" s="11" t="n">
        <v>7344315.65</v>
      </c>
      <c r="G142" s="11" t="n">
        <v>7012311.2</v>
      </c>
      <c r="H142" s="11" t="n">
        <v>5584047.91</v>
      </c>
      <c r="I142" s="12" t="n">
        <v>540</v>
      </c>
    </row>
    <row r="143" customFormat="false" ht="15" hidden="false" customHeight="false" outlineLevel="0" collapsed="false">
      <c r="A143" s="10" t="s">
        <v>294</v>
      </c>
      <c r="B143" s="10" t="s">
        <v>295</v>
      </c>
      <c r="C143" s="10" t="s">
        <v>29</v>
      </c>
      <c r="D143" s="10" t="s">
        <v>10</v>
      </c>
      <c r="E143" s="10" t="s">
        <v>30</v>
      </c>
      <c r="F143" s="11" t="n">
        <v>763402.6</v>
      </c>
      <c r="G143" s="11" t="n">
        <v>763175.45</v>
      </c>
      <c r="H143" s="11" t="n">
        <v>479319.62</v>
      </c>
      <c r="I143" s="12" t="n">
        <v>5978</v>
      </c>
    </row>
    <row r="144" customFormat="false" ht="15" hidden="false" customHeight="false" outlineLevel="0" collapsed="false">
      <c r="A144" s="10" t="s">
        <v>296</v>
      </c>
      <c r="B144" s="10" t="s">
        <v>297</v>
      </c>
      <c r="C144" s="10" t="s">
        <v>21</v>
      </c>
      <c r="D144" s="10" t="s">
        <v>10</v>
      </c>
      <c r="E144" s="10" t="s">
        <v>30</v>
      </c>
      <c r="F144" s="11" t="n">
        <v>471574.14</v>
      </c>
      <c r="G144" s="11" t="n">
        <v>458761.44</v>
      </c>
      <c r="H144" s="11" t="n">
        <v>298223.1</v>
      </c>
      <c r="I144" s="12" t="n">
        <v>5523</v>
      </c>
    </row>
    <row r="145" customFormat="false" ht="15" hidden="false" customHeight="false" outlineLevel="0" collapsed="false">
      <c r="A145" s="10" t="s">
        <v>298</v>
      </c>
      <c r="B145" s="10" t="s">
        <v>299</v>
      </c>
      <c r="C145" s="10" t="s">
        <v>29</v>
      </c>
      <c r="D145" s="10" t="s">
        <v>12</v>
      </c>
      <c r="E145" s="10" t="s">
        <v>36</v>
      </c>
      <c r="F145" s="11" t="n">
        <v>1832157.42</v>
      </c>
      <c r="G145" s="11" t="n">
        <v>1803531.55</v>
      </c>
      <c r="H145" s="11" t="n">
        <v>1170166.73</v>
      </c>
      <c r="I145" s="12" t="n">
        <v>7225</v>
      </c>
    </row>
    <row r="146" customFormat="false" ht="15" hidden="false" customHeight="false" outlineLevel="0" collapsed="false">
      <c r="A146" s="10" t="s">
        <v>300</v>
      </c>
      <c r="B146" s="10" t="s">
        <v>301</v>
      </c>
      <c r="C146" s="10" t="s">
        <v>21</v>
      </c>
      <c r="D146" s="10" t="s">
        <v>12</v>
      </c>
      <c r="E146" s="10" t="s">
        <v>68</v>
      </c>
      <c r="F146" s="11" t="n">
        <v>3771916.77</v>
      </c>
      <c r="G146" s="11" t="n">
        <v>3597164.62</v>
      </c>
      <c r="H146" s="11" t="n">
        <v>2708005.57</v>
      </c>
      <c r="I146" s="12" t="n">
        <v>3161</v>
      </c>
    </row>
    <row r="147" customFormat="false" ht="15" hidden="false" customHeight="false" outlineLevel="0" collapsed="false">
      <c r="A147" s="10" t="s">
        <v>302</v>
      </c>
      <c r="B147" s="10" t="s">
        <v>303</v>
      </c>
      <c r="C147" s="10" t="s">
        <v>21</v>
      </c>
      <c r="D147" s="10" t="s">
        <v>9</v>
      </c>
      <c r="E147" s="10" t="s">
        <v>52</v>
      </c>
      <c r="F147" s="11" t="n">
        <v>1405599.72</v>
      </c>
      <c r="G147" s="11" t="n">
        <v>1358170.51</v>
      </c>
      <c r="H147" s="11" t="n">
        <v>1086919.11</v>
      </c>
      <c r="I147" s="12" t="n">
        <v>3868</v>
      </c>
    </row>
    <row r="148" customFormat="false" ht="15" hidden="false" customHeight="false" outlineLevel="0" collapsed="false">
      <c r="A148" s="10" t="s">
        <v>304</v>
      </c>
      <c r="B148" s="10" t="s">
        <v>305</v>
      </c>
      <c r="C148" s="10" t="s">
        <v>21</v>
      </c>
      <c r="D148" s="10" t="s">
        <v>11</v>
      </c>
      <c r="E148" s="10" t="s">
        <v>39</v>
      </c>
      <c r="F148" s="11" t="n">
        <v>7443692.78</v>
      </c>
      <c r="G148" s="11" t="n">
        <v>7364792.6</v>
      </c>
      <c r="H148" s="11" t="n">
        <v>5025873.45</v>
      </c>
      <c r="I148" s="12" t="n">
        <v>3867</v>
      </c>
    </row>
    <row r="149" customFormat="false" ht="15" hidden="false" customHeight="false" outlineLevel="0" collapsed="false">
      <c r="A149" s="10" t="s">
        <v>306</v>
      </c>
      <c r="B149" s="10" t="s">
        <v>307</v>
      </c>
      <c r="C149" s="10" t="s">
        <v>21</v>
      </c>
      <c r="D149" s="10" t="s">
        <v>10</v>
      </c>
      <c r="E149" s="10" t="s">
        <v>33</v>
      </c>
      <c r="F149" s="11" t="n">
        <v>1777751.18</v>
      </c>
      <c r="G149" s="11" t="n">
        <v>1733854.04</v>
      </c>
      <c r="H149" s="11" t="n">
        <v>1187766.44</v>
      </c>
      <c r="I149" s="12" t="n">
        <v>4287</v>
      </c>
    </row>
    <row r="150" customFormat="false" ht="15" hidden="false" customHeight="false" outlineLevel="0" collapsed="false">
      <c r="A150" s="10" t="s">
        <v>308</v>
      </c>
      <c r="B150" s="10" t="s">
        <v>309</v>
      </c>
      <c r="C150" s="10" t="s">
        <v>21</v>
      </c>
      <c r="D150" s="10" t="s">
        <v>9</v>
      </c>
      <c r="E150" s="10" t="s">
        <v>65</v>
      </c>
      <c r="F150" s="11" t="n">
        <v>3319568.28</v>
      </c>
      <c r="G150" s="11" t="n">
        <v>3202566.66</v>
      </c>
      <c r="H150" s="11" t="n">
        <v>2337245.57</v>
      </c>
      <c r="I150" s="12" t="n">
        <v>1470</v>
      </c>
    </row>
    <row r="151" customFormat="false" ht="15" hidden="false" customHeight="false" outlineLevel="0" collapsed="false">
      <c r="A151" s="10" t="s">
        <v>310</v>
      </c>
      <c r="B151" s="10" t="s">
        <v>311</v>
      </c>
      <c r="C151" s="10" t="s">
        <v>25</v>
      </c>
      <c r="D151" s="10" t="s">
        <v>13</v>
      </c>
      <c r="E151" s="10" t="s">
        <v>143</v>
      </c>
      <c r="F151" s="11" t="n">
        <v>5653880.67</v>
      </c>
      <c r="G151" s="11" t="n">
        <v>5488974.29</v>
      </c>
      <c r="H151" s="11" t="n">
        <v>4346891.44</v>
      </c>
      <c r="I151" s="12" t="n">
        <v>1140</v>
      </c>
    </row>
    <row r="152" customFormat="false" ht="15" hidden="false" customHeight="false" outlineLevel="0" collapsed="false">
      <c r="A152" s="10" t="s">
        <v>312</v>
      </c>
      <c r="B152" s="10" t="s">
        <v>313</v>
      </c>
      <c r="C152" s="10" t="s">
        <v>21</v>
      </c>
      <c r="D152" s="10" t="s">
        <v>12</v>
      </c>
      <c r="E152" s="10" t="s">
        <v>90</v>
      </c>
      <c r="F152" s="11" t="n">
        <v>6242285.64</v>
      </c>
      <c r="G152" s="11" t="n">
        <v>6127428.11</v>
      </c>
      <c r="H152" s="11" t="n">
        <v>4136345.53</v>
      </c>
      <c r="I152" s="12" t="n">
        <v>1287</v>
      </c>
    </row>
    <row r="153" customFormat="false" ht="15" hidden="false" customHeight="false" outlineLevel="0" collapsed="false">
      <c r="A153" s="10" t="s">
        <v>314</v>
      </c>
      <c r="B153" s="10" t="s">
        <v>315</v>
      </c>
      <c r="C153" s="10" t="s">
        <v>29</v>
      </c>
      <c r="D153" s="10" t="s">
        <v>9</v>
      </c>
      <c r="E153" s="10" t="s">
        <v>47</v>
      </c>
      <c r="F153" s="11" t="n">
        <v>3685795.47</v>
      </c>
      <c r="G153" s="11" t="n">
        <v>3556055.48</v>
      </c>
      <c r="H153" s="11" t="n">
        <v>2344205.25</v>
      </c>
      <c r="I153" s="12" t="n">
        <v>6808</v>
      </c>
    </row>
    <row r="154" customFormat="false" ht="15" hidden="false" customHeight="false" outlineLevel="0" collapsed="false">
      <c r="A154" s="10" t="s">
        <v>316</v>
      </c>
      <c r="B154" s="10" t="s">
        <v>317</v>
      </c>
      <c r="C154" s="10" t="s">
        <v>25</v>
      </c>
      <c r="D154" s="10" t="s">
        <v>12</v>
      </c>
      <c r="E154" s="10" t="s">
        <v>99</v>
      </c>
      <c r="F154" s="11" t="n">
        <v>3156636.1</v>
      </c>
      <c r="G154" s="11" t="n">
        <v>3105845.55</v>
      </c>
      <c r="H154" s="11" t="n">
        <v>2385648.77</v>
      </c>
      <c r="I154" s="12" t="n">
        <v>7922</v>
      </c>
    </row>
    <row r="155" customFormat="false" ht="15" hidden="false" customHeight="false" outlineLevel="0" collapsed="false">
      <c r="A155" s="10" t="s">
        <v>318</v>
      </c>
      <c r="B155" s="10" t="s">
        <v>319</v>
      </c>
      <c r="C155" s="10" t="s">
        <v>29</v>
      </c>
      <c r="D155" s="10" t="s">
        <v>12</v>
      </c>
      <c r="E155" s="10" t="s">
        <v>90</v>
      </c>
      <c r="F155" s="11" t="n">
        <v>2112689.15</v>
      </c>
      <c r="G155" s="11" t="n">
        <v>1973315.47</v>
      </c>
      <c r="H155" s="11" t="n">
        <v>1360494.99</v>
      </c>
      <c r="I155" s="12" t="n">
        <v>5814</v>
      </c>
    </row>
    <row r="156" customFormat="false" ht="15" hidden="false" customHeight="false" outlineLevel="0" collapsed="false">
      <c r="A156" s="10" t="s">
        <v>320</v>
      </c>
      <c r="B156" s="10" t="s">
        <v>321</v>
      </c>
      <c r="C156" s="10" t="s">
        <v>29</v>
      </c>
      <c r="D156" s="10" t="s">
        <v>13</v>
      </c>
      <c r="E156" s="10" t="s">
        <v>44</v>
      </c>
      <c r="F156" s="11" t="n">
        <v>6391166.4</v>
      </c>
      <c r="G156" s="11" t="n">
        <v>6269990.86</v>
      </c>
      <c r="H156" s="11" t="n">
        <v>5193672.72</v>
      </c>
      <c r="I156" s="12" t="n">
        <v>850</v>
      </c>
    </row>
    <row r="157" customFormat="false" ht="15" hidden="false" customHeight="false" outlineLevel="0" collapsed="false">
      <c r="A157" s="10" t="s">
        <v>322</v>
      </c>
      <c r="B157" s="10" t="s">
        <v>323</v>
      </c>
      <c r="C157" s="10" t="s">
        <v>21</v>
      </c>
      <c r="D157" s="10" t="s">
        <v>12</v>
      </c>
      <c r="E157" s="10" t="s">
        <v>36</v>
      </c>
      <c r="F157" s="11" t="n">
        <v>7128032.39</v>
      </c>
      <c r="G157" s="11" t="n">
        <v>6973076.63</v>
      </c>
      <c r="H157" s="11" t="n">
        <v>5617990.32</v>
      </c>
      <c r="I157" s="12" t="n">
        <v>1977</v>
      </c>
    </row>
    <row r="158" customFormat="false" ht="15" hidden="false" customHeight="false" outlineLevel="0" collapsed="false">
      <c r="A158" s="10" t="s">
        <v>324</v>
      </c>
      <c r="B158" s="10" t="s">
        <v>325</v>
      </c>
      <c r="C158" s="10" t="s">
        <v>29</v>
      </c>
      <c r="D158" s="10" t="s">
        <v>11</v>
      </c>
      <c r="E158" s="10" t="s">
        <v>165</v>
      </c>
      <c r="F158" s="11" t="n">
        <v>7132104.74</v>
      </c>
      <c r="G158" s="11" t="n">
        <v>7129314.74</v>
      </c>
      <c r="H158" s="11" t="n">
        <v>5478624.34</v>
      </c>
      <c r="I158" s="12" t="n">
        <v>8648</v>
      </c>
    </row>
    <row r="159" customFormat="false" ht="15" hidden="false" customHeight="false" outlineLevel="0" collapsed="false">
      <c r="A159" s="10" t="s">
        <v>326</v>
      </c>
      <c r="B159" s="10" t="s">
        <v>327</v>
      </c>
      <c r="C159" s="10" t="s">
        <v>25</v>
      </c>
      <c r="D159" s="10" t="s">
        <v>11</v>
      </c>
      <c r="E159" s="10" t="s">
        <v>71</v>
      </c>
      <c r="F159" s="11" t="n">
        <v>2017792.46</v>
      </c>
      <c r="G159" s="11" t="n">
        <v>1962718.77</v>
      </c>
      <c r="H159" s="11" t="n">
        <v>1306814.67</v>
      </c>
      <c r="I159" s="12" t="n">
        <v>8459</v>
      </c>
    </row>
    <row r="160" customFormat="false" ht="15" hidden="false" customHeight="false" outlineLevel="0" collapsed="false">
      <c r="A160" s="10" t="s">
        <v>328</v>
      </c>
      <c r="B160" s="10" t="s">
        <v>329</v>
      </c>
      <c r="C160" s="10" t="s">
        <v>29</v>
      </c>
      <c r="D160" s="10" t="s">
        <v>9</v>
      </c>
      <c r="E160" s="10" t="s">
        <v>127</v>
      </c>
      <c r="F160" s="11" t="n">
        <v>5350108.18</v>
      </c>
      <c r="G160" s="11" t="n">
        <v>5224255.07</v>
      </c>
      <c r="H160" s="11" t="n">
        <v>3811682.27</v>
      </c>
      <c r="I160" s="12" t="n">
        <v>891</v>
      </c>
    </row>
    <row r="161" customFormat="false" ht="15" hidden="false" customHeight="false" outlineLevel="0" collapsed="false">
      <c r="A161" s="10" t="s">
        <v>330</v>
      </c>
      <c r="B161" s="10" t="s">
        <v>331</v>
      </c>
      <c r="C161" s="10" t="s">
        <v>21</v>
      </c>
      <c r="D161" s="10" t="s">
        <v>9</v>
      </c>
      <c r="E161" s="10" t="s">
        <v>154</v>
      </c>
      <c r="F161" s="11" t="n">
        <v>2649845.14</v>
      </c>
      <c r="G161" s="11" t="n">
        <v>2609444.98</v>
      </c>
      <c r="H161" s="11" t="n">
        <v>2268756.03</v>
      </c>
      <c r="I161" s="12" t="n">
        <v>3877</v>
      </c>
    </row>
    <row r="162" customFormat="false" ht="15" hidden="false" customHeight="false" outlineLevel="0" collapsed="false">
      <c r="A162" s="10" t="s">
        <v>332</v>
      </c>
      <c r="B162" s="10" t="s">
        <v>333</v>
      </c>
      <c r="C162" s="10" t="s">
        <v>21</v>
      </c>
      <c r="D162" s="10" t="s">
        <v>11</v>
      </c>
      <c r="E162" s="10" t="s">
        <v>39</v>
      </c>
      <c r="F162" s="11" t="n">
        <v>4125168.61</v>
      </c>
      <c r="G162" s="11" t="n">
        <v>3984700.74</v>
      </c>
      <c r="H162" s="11" t="n">
        <v>2891087.71</v>
      </c>
      <c r="I162" s="12" t="n">
        <v>2513</v>
      </c>
    </row>
    <row r="163" customFormat="false" ht="15" hidden="false" customHeight="false" outlineLevel="0" collapsed="false">
      <c r="A163" s="10" t="s">
        <v>334</v>
      </c>
      <c r="B163" s="10" t="s">
        <v>335</v>
      </c>
      <c r="C163" s="10" t="s">
        <v>21</v>
      </c>
      <c r="D163" s="10" t="s">
        <v>9</v>
      </c>
      <c r="E163" s="10" t="s">
        <v>52</v>
      </c>
      <c r="F163" s="11" t="n">
        <v>1597696.02</v>
      </c>
      <c r="G163" s="11" t="n">
        <v>1547288.39</v>
      </c>
      <c r="H163" s="11" t="n">
        <v>1134563.12</v>
      </c>
      <c r="I163" s="12" t="n">
        <v>4143</v>
      </c>
    </row>
    <row r="164" customFormat="false" ht="15" hidden="false" customHeight="false" outlineLevel="0" collapsed="false">
      <c r="A164" s="10" t="s">
        <v>336</v>
      </c>
      <c r="B164" s="10" t="s">
        <v>337</v>
      </c>
      <c r="C164" s="10" t="s">
        <v>29</v>
      </c>
      <c r="D164" s="10" t="s">
        <v>11</v>
      </c>
      <c r="E164" s="10" t="s">
        <v>39</v>
      </c>
      <c r="F164" s="11" t="n">
        <v>5628577.79</v>
      </c>
      <c r="G164" s="11" t="n">
        <v>5409468.22</v>
      </c>
      <c r="H164" s="11" t="n">
        <v>4014269.03</v>
      </c>
      <c r="I164" s="12" t="n">
        <v>1824</v>
      </c>
    </row>
    <row r="165" customFormat="false" ht="15" hidden="false" customHeight="false" outlineLevel="0" collapsed="false">
      <c r="A165" s="10" t="s">
        <v>338</v>
      </c>
      <c r="B165" s="10" t="s">
        <v>339</v>
      </c>
      <c r="C165" s="10" t="s">
        <v>21</v>
      </c>
      <c r="D165" s="10" t="s">
        <v>11</v>
      </c>
      <c r="E165" s="10" t="s">
        <v>39</v>
      </c>
      <c r="F165" s="11" t="n">
        <v>6827373.26</v>
      </c>
      <c r="G165" s="11" t="n">
        <v>6766481.45</v>
      </c>
      <c r="H165" s="11" t="n">
        <v>4558257.09</v>
      </c>
      <c r="I165" s="12" t="n">
        <v>4216</v>
      </c>
    </row>
    <row r="166" customFormat="false" ht="15" hidden="false" customHeight="false" outlineLevel="0" collapsed="false">
      <c r="A166" s="10" t="s">
        <v>340</v>
      </c>
      <c r="B166" s="10" t="s">
        <v>341</v>
      </c>
      <c r="C166" s="10" t="s">
        <v>21</v>
      </c>
      <c r="D166" s="10" t="s">
        <v>13</v>
      </c>
      <c r="E166" s="10" t="s">
        <v>81</v>
      </c>
      <c r="F166" s="11" t="n">
        <v>7189259.99</v>
      </c>
      <c r="G166" s="11" t="n">
        <v>6978264.69</v>
      </c>
      <c r="H166" s="11" t="n">
        <v>5873827.68</v>
      </c>
      <c r="I166" s="12" t="n">
        <v>1189</v>
      </c>
    </row>
    <row r="167" customFormat="false" ht="15" hidden="false" customHeight="false" outlineLevel="0" collapsed="false">
      <c r="A167" s="10" t="s">
        <v>342</v>
      </c>
      <c r="B167" s="10" t="s">
        <v>343</v>
      </c>
      <c r="C167" s="10" t="s">
        <v>21</v>
      </c>
      <c r="D167" s="10" t="s">
        <v>12</v>
      </c>
      <c r="E167" s="10" t="s">
        <v>99</v>
      </c>
      <c r="F167" s="11" t="n">
        <v>499183.18</v>
      </c>
      <c r="G167" s="11" t="n">
        <v>491377.49</v>
      </c>
      <c r="H167" s="11" t="n">
        <v>372080.35</v>
      </c>
      <c r="I167" s="12" t="n">
        <v>5747</v>
      </c>
    </row>
    <row r="168" customFormat="false" ht="15" hidden="false" customHeight="false" outlineLevel="0" collapsed="false">
      <c r="A168" s="10" t="s">
        <v>344</v>
      </c>
      <c r="B168" s="10" t="s">
        <v>345</v>
      </c>
      <c r="C168" s="10" t="s">
        <v>29</v>
      </c>
      <c r="D168" s="10" t="s">
        <v>11</v>
      </c>
      <c r="E168" s="10" t="s">
        <v>58</v>
      </c>
      <c r="F168" s="11" t="n">
        <v>7318255.73</v>
      </c>
      <c r="G168" s="11" t="n">
        <v>7200771.69</v>
      </c>
      <c r="H168" s="11" t="n">
        <v>5874199.8</v>
      </c>
      <c r="I168" s="12" t="n">
        <v>6501</v>
      </c>
    </row>
    <row r="169" customFormat="false" ht="15" hidden="false" customHeight="false" outlineLevel="0" collapsed="false">
      <c r="A169" s="10" t="s">
        <v>346</v>
      </c>
      <c r="B169" s="10" t="s">
        <v>347</v>
      </c>
      <c r="C169" s="10" t="s">
        <v>21</v>
      </c>
      <c r="D169" s="10" t="s">
        <v>12</v>
      </c>
      <c r="E169" s="10" t="s">
        <v>99</v>
      </c>
      <c r="F169" s="11" t="n">
        <v>1511571.38</v>
      </c>
      <c r="G169" s="11" t="n">
        <v>1501772.89</v>
      </c>
      <c r="H169" s="11" t="n">
        <v>1153094.69</v>
      </c>
      <c r="I169" s="12" t="n">
        <v>3715</v>
      </c>
    </row>
    <row r="170" customFormat="false" ht="15" hidden="false" customHeight="false" outlineLevel="0" collapsed="false">
      <c r="A170" s="10" t="s">
        <v>348</v>
      </c>
      <c r="B170" s="10" t="s">
        <v>349</v>
      </c>
      <c r="C170" s="10" t="s">
        <v>29</v>
      </c>
      <c r="D170" s="10" t="s">
        <v>9</v>
      </c>
      <c r="E170" s="10" t="s">
        <v>154</v>
      </c>
      <c r="F170" s="11" t="n">
        <v>3631373.38</v>
      </c>
      <c r="G170" s="11" t="n">
        <v>3467436.95</v>
      </c>
      <c r="H170" s="11" t="n">
        <v>2365204.49</v>
      </c>
      <c r="I170" s="12" t="n">
        <v>6860</v>
      </c>
    </row>
    <row r="171" customFormat="false" ht="15" hidden="false" customHeight="false" outlineLevel="0" collapsed="false">
      <c r="A171" s="10" t="s">
        <v>350</v>
      </c>
      <c r="B171" s="10" t="s">
        <v>351</v>
      </c>
      <c r="C171" s="10" t="s">
        <v>21</v>
      </c>
      <c r="D171" s="10" t="s">
        <v>11</v>
      </c>
      <c r="E171" s="10" t="s">
        <v>58</v>
      </c>
      <c r="F171" s="11" t="n">
        <v>6801384.03</v>
      </c>
      <c r="G171" s="11" t="n">
        <v>6638823.05</v>
      </c>
      <c r="H171" s="11" t="n">
        <v>4441078.57</v>
      </c>
      <c r="I171" s="12" t="n">
        <v>7238</v>
      </c>
    </row>
    <row r="172" customFormat="false" ht="15" hidden="false" customHeight="false" outlineLevel="0" collapsed="false">
      <c r="A172" s="10" t="s">
        <v>352</v>
      </c>
      <c r="B172" s="10" t="s">
        <v>353</v>
      </c>
      <c r="C172" s="10" t="s">
        <v>21</v>
      </c>
      <c r="D172" s="10" t="s">
        <v>12</v>
      </c>
      <c r="E172" s="10" t="s">
        <v>174</v>
      </c>
      <c r="F172" s="11" t="n">
        <v>1240806.72</v>
      </c>
      <c r="G172" s="11" t="n">
        <v>1166185.52</v>
      </c>
      <c r="H172" s="11" t="n">
        <v>874251.76</v>
      </c>
      <c r="I172" s="12" t="n">
        <v>5301</v>
      </c>
    </row>
    <row r="173" customFormat="false" ht="15" hidden="false" customHeight="false" outlineLevel="0" collapsed="false">
      <c r="A173" s="10"/>
      <c r="B173" s="10" t="s">
        <v>354</v>
      </c>
      <c r="C173" s="10" t="s">
        <v>64</v>
      </c>
      <c r="D173" s="10" t="s">
        <v>12</v>
      </c>
      <c r="E173" s="10" t="s">
        <v>90</v>
      </c>
      <c r="F173" s="11" t="n">
        <v>6295825.09</v>
      </c>
      <c r="G173" s="11" t="n">
        <v>5866674.32</v>
      </c>
      <c r="H173" s="11" t="n">
        <v>5258666.48</v>
      </c>
      <c r="I173" s="12" t="n">
        <v>0</v>
      </c>
    </row>
    <row r="174" customFormat="false" ht="15" hidden="false" customHeight="false" outlineLevel="0" collapsed="false">
      <c r="A174" s="10" t="s">
        <v>355</v>
      </c>
      <c r="B174" s="10" t="s">
        <v>356</v>
      </c>
      <c r="C174" s="10" t="s">
        <v>21</v>
      </c>
      <c r="D174" s="10" t="s">
        <v>12</v>
      </c>
      <c r="E174" s="10" t="s">
        <v>90</v>
      </c>
      <c r="F174" s="11" t="n">
        <v>3116327.39</v>
      </c>
      <c r="G174" s="11" t="n">
        <v>3059529.25</v>
      </c>
      <c r="H174" s="11" t="n">
        <v>2414884.04</v>
      </c>
      <c r="I174" s="12" t="n">
        <v>1384</v>
      </c>
    </row>
    <row r="175" customFormat="false" ht="15" hidden="false" customHeight="false" outlineLevel="0" collapsed="false">
      <c r="A175" s="10" t="s">
        <v>357</v>
      </c>
      <c r="B175" s="10" t="s">
        <v>358</v>
      </c>
      <c r="C175" s="10" t="s">
        <v>29</v>
      </c>
      <c r="D175" s="10" t="s">
        <v>12</v>
      </c>
      <c r="E175" s="10" t="s">
        <v>68</v>
      </c>
      <c r="F175" s="11" t="n">
        <v>2124560.03</v>
      </c>
      <c r="G175" s="11" t="n">
        <v>2018391.91</v>
      </c>
      <c r="H175" s="11" t="n">
        <v>1799927.51</v>
      </c>
      <c r="I175" s="12" t="n">
        <v>3593</v>
      </c>
    </row>
    <row r="176" customFormat="false" ht="15" hidden="false" customHeight="false" outlineLevel="0" collapsed="false">
      <c r="A176" s="10" t="s">
        <v>359</v>
      </c>
      <c r="B176" s="10" t="s">
        <v>360</v>
      </c>
      <c r="C176" s="10" t="s">
        <v>21</v>
      </c>
      <c r="D176" s="10" t="s">
        <v>13</v>
      </c>
      <c r="E176" s="10" t="s">
        <v>122</v>
      </c>
      <c r="F176" s="11" t="n">
        <v>1595129.65</v>
      </c>
      <c r="G176" s="11" t="n">
        <v>1496577.09</v>
      </c>
      <c r="H176" s="11" t="n">
        <v>1116975.48</v>
      </c>
      <c r="I176" s="12" t="n">
        <v>7100</v>
      </c>
    </row>
    <row r="177" customFormat="false" ht="15" hidden="false" customHeight="false" outlineLevel="0" collapsed="false">
      <c r="A177" s="10" t="s">
        <v>361</v>
      </c>
      <c r="B177" s="10" t="s">
        <v>362</v>
      </c>
      <c r="C177" s="10" t="s">
        <v>21</v>
      </c>
      <c r="D177" s="10" t="s">
        <v>9</v>
      </c>
      <c r="E177" s="10" t="s">
        <v>52</v>
      </c>
      <c r="F177" s="11" t="n">
        <v>4054975.75</v>
      </c>
      <c r="G177" s="11" t="n">
        <v>3994537.4</v>
      </c>
      <c r="H177" s="11" t="n">
        <v>2781495.13</v>
      </c>
      <c r="I177" s="12" t="n">
        <v>3094</v>
      </c>
    </row>
    <row r="178" customFormat="false" ht="15" hidden="false" customHeight="false" outlineLevel="0" collapsed="false">
      <c r="A178" s="10" t="s">
        <v>363</v>
      </c>
      <c r="B178" s="10" t="s">
        <v>364</v>
      </c>
      <c r="C178" s="10" t="s">
        <v>29</v>
      </c>
      <c r="D178" s="10" t="s">
        <v>13</v>
      </c>
      <c r="E178" s="10" t="s">
        <v>81</v>
      </c>
      <c r="F178" s="11" t="n">
        <v>3820373.62</v>
      </c>
      <c r="G178" s="11" t="n">
        <v>3762800.72</v>
      </c>
      <c r="H178" s="11" t="n">
        <v>3257580.97</v>
      </c>
      <c r="I178" s="12" t="n">
        <v>4799</v>
      </c>
    </row>
    <row r="179" customFormat="false" ht="15" hidden="false" customHeight="false" outlineLevel="0" collapsed="false">
      <c r="A179" s="10" t="s">
        <v>365</v>
      </c>
      <c r="B179" s="10" t="s">
        <v>366</v>
      </c>
      <c r="C179" s="10" t="s">
        <v>29</v>
      </c>
      <c r="D179" s="10" t="s">
        <v>11</v>
      </c>
      <c r="E179" s="10" t="s">
        <v>39</v>
      </c>
      <c r="F179" s="11" t="n">
        <v>6994537.52</v>
      </c>
      <c r="G179" s="11" t="n">
        <v>6813895.67</v>
      </c>
      <c r="H179" s="11" t="n">
        <v>4571020.47</v>
      </c>
      <c r="I179" s="12" t="n">
        <v>1348</v>
      </c>
    </row>
    <row r="180" customFormat="false" ht="15" hidden="false" customHeight="false" outlineLevel="0" collapsed="false">
      <c r="A180" s="10" t="s">
        <v>367</v>
      </c>
      <c r="B180" s="10" t="s">
        <v>368</v>
      </c>
      <c r="C180" s="10" t="s">
        <v>25</v>
      </c>
      <c r="D180" s="10" t="s">
        <v>12</v>
      </c>
      <c r="E180" s="10" t="s">
        <v>55</v>
      </c>
      <c r="F180" s="11" t="n">
        <v>3408795.14</v>
      </c>
      <c r="G180" s="11" t="n">
        <v>3368812.36</v>
      </c>
      <c r="H180" s="11" t="n">
        <v>2046029.62</v>
      </c>
      <c r="I180" s="12" t="n">
        <v>1105</v>
      </c>
    </row>
    <row r="181" customFormat="false" ht="15" hidden="false" customHeight="false" outlineLevel="0" collapsed="false">
      <c r="A181" s="10" t="s">
        <v>369</v>
      </c>
      <c r="B181" s="10" t="s">
        <v>370</v>
      </c>
      <c r="C181" s="10" t="s">
        <v>29</v>
      </c>
      <c r="D181" s="10" t="s">
        <v>9</v>
      </c>
      <c r="E181" s="10" t="s">
        <v>127</v>
      </c>
      <c r="F181" s="11" t="n">
        <v>6759587.1</v>
      </c>
      <c r="G181" s="11" t="n">
        <v>6680233.78</v>
      </c>
      <c r="H181" s="11" t="n">
        <v>5548204.89</v>
      </c>
      <c r="I181" s="12" t="n">
        <v>494</v>
      </c>
    </row>
    <row r="182" customFormat="false" ht="15" hidden="false" customHeight="false" outlineLevel="0" collapsed="false">
      <c r="A182" s="10" t="s">
        <v>371</v>
      </c>
      <c r="B182" s="10" t="s">
        <v>372</v>
      </c>
      <c r="C182" s="10" t="s">
        <v>21</v>
      </c>
      <c r="D182" s="10" t="s">
        <v>9</v>
      </c>
      <c r="E182" s="10" t="s">
        <v>154</v>
      </c>
      <c r="F182" s="11" t="n">
        <v>4909398.17</v>
      </c>
      <c r="G182" s="11" t="n">
        <v>4703234.35</v>
      </c>
      <c r="H182" s="11" t="n">
        <v>3952529.63</v>
      </c>
      <c r="I182" s="12" t="n">
        <v>4654</v>
      </c>
    </row>
    <row r="183" customFormat="false" ht="15" hidden="false" customHeight="false" outlineLevel="0" collapsed="false">
      <c r="A183" s="10" t="s">
        <v>373</v>
      </c>
      <c r="B183" s="10" t="s">
        <v>374</v>
      </c>
      <c r="C183" s="10" t="s">
        <v>25</v>
      </c>
      <c r="D183" s="10" t="s">
        <v>13</v>
      </c>
      <c r="E183" s="10" t="s">
        <v>22</v>
      </c>
      <c r="F183" s="11" t="n">
        <v>5171414.52</v>
      </c>
      <c r="G183" s="11" t="n">
        <v>4960980.55</v>
      </c>
      <c r="H183" s="11" t="n">
        <v>4288737.94</v>
      </c>
      <c r="I183" s="12" t="n">
        <v>3860</v>
      </c>
    </row>
    <row r="184" customFormat="false" ht="15" hidden="false" customHeight="false" outlineLevel="0" collapsed="false">
      <c r="A184" s="10" t="s">
        <v>375</v>
      </c>
      <c r="B184" s="10" t="s">
        <v>376</v>
      </c>
      <c r="C184" s="10" t="s">
        <v>21</v>
      </c>
      <c r="D184" s="10" t="s">
        <v>12</v>
      </c>
      <c r="E184" s="10" t="s">
        <v>174</v>
      </c>
      <c r="F184" s="11" t="n">
        <v>1673218.89</v>
      </c>
      <c r="G184" s="11" t="n">
        <v>1604256.96</v>
      </c>
      <c r="H184" s="11" t="n">
        <v>1300452.2</v>
      </c>
      <c r="I184" s="12" t="n">
        <v>4722</v>
      </c>
    </row>
    <row r="185" customFormat="false" ht="15" hidden="false" customHeight="false" outlineLevel="0" collapsed="false">
      <c r="A185" s="10" t="s">
        <v>377</v>
      </c>
      <c r="B185" s="10" t="s">
        <v>378</v>
      </c>
      <c r="C185" s="10" t="s">
        <v>29</v>
      </c>
      <c r="D185" s="10" t="s">
        <v>13</v>
      </c>
      <c r="E185" s="10" t="s">
        <v>122</v>
      </c>
      <c r="F185" s="11" t="n">
        <v>3038718.87</v>
      </c>
      <c r="G185" s="11" t="n">
        <v>2839737.15</v>
      </c>
      <c r="H185" s="11" t="n">
        <v>2247768.96</v>
      </c>
      <c r="I185" s="12" t="n">
        <v>8999</v>
      </c>
    </row>
    <row r="186" customFormat="false" ht="15" hidden="false" customHeight="false" outlineLevel="0" collapsed="false">
      <c r="A186" s="10" t="s">
        <v>379</v>
      </c>
      <c r="B186" s="10" t="s">
        <v>380</v>
      </c>
      <c r="C186" s="10" t="s">
        <v>29</v>
      </c>
      <c r="D186" s="10" t="s">
        <v>12</v>
      </c>
      <c r="E186" s="10" t="s">
        <v>90</v>
      </c>
      <c r="F186" s="11" t="n">
        <v>406380.52</v>
      </c>
      <c r="G186" s="11" t="n">
        <v>395618.25</v>
      </c>
      <c r="H186" s="11" t="n">
        <v>342881.54</v>
      </c>
      <c r="I186" s="12" t="n">
        <v>3240</v>
      </c>
    </row>
    <row r="187" customFormat="false" ht="15" hidden="false" customHeight="false" outlineLevel="0" collapsed="false">
      <c r="A187" s="10" t="s">
        <v>381</v>
      </c>
      <c r="B187" s="10" t="s">
        <v>382</v>
      </c>
      <c r="C187" s="10" t="s">
        <v>25</v>
      </c>
      <c r="D187" s="10" t="s">
        <v>9</v>
      </c>
      <c r="E187" s="10" t="s">
        <v>47</v>
      </c>
      <c r="F187" s="11" t="n">
        <v>5549742.48</v>
      </c>
      <c r="G187" s="11" t="n">
        <v>5442531.94</v>
      </c>
      <c r="H187" s="11" t="n">
        <v>4240725.25</v>
      </c>
      <c r="I187" s="12" t="n">
        <v>8727</v>
      </c>
    </row>
    <row r="188" customFormat="false" ht="15" hidden="false" customHeight="false" outlineLevel="0" collapsed="false">
      <c r="A188" s="10" t="s">
        <v>383</v>
      </c>
      <c r="B188" s="10" t="s">
        <v>384</v>
      </c>
      <c r="C188" s="10" t="s">
        <v>21</v>
      </c>
      <c r="D188" s="10" t="s">
        <v>11</v>
      </c>
      <c r="E188" s="10" t="s">
        <v>165</v>
      </c>
      <c r="F188" s="11" t="n">
        <v>5286339.88</v>
      </c>
      <c r="G188" s="11" t="n">
        <v>5128247.39</v>
      </c>
      <c r="H188" s="11" t="n">
        <v>3490517.17</v>
      </c>
      <c r="I188" s="12" t="n">
        <v>2890</v>
      </c>
    </row>
    <row r="189" customFormat="false" ht="15" hidden="false" customHeight="false" outlineLevel="0" collapsed="false">
      <c r="A189" s="10" t="s">
        <v>385</v>
      </c>
      <c r="B189" s="10" t="s">
        <v>386</v>
      </c>
      <c r="C189" s="10" t="s">
        <v>29</v>
      </c>
      <c r="D189" s="10" t="s">
        <v>10</v>
      </c>
      <c r="E189" s="10" t="s">
        <v>30</v>
      </c>
      <c r="F189" s="11" t="n">
        <v>6756083.5</v>
      </c>
      <c r="G189" s="11" t="n">
        <v>6569930.21</v>
      </c>
      <c r="H189" s="11" t="n">
        <v>4887929.65</v>
      </c>
      <c r="I189" s="12" t="n">
        <v>3866</v>
      </c>
    </row>
    <row r="190" customFormat="false" ht="15" hidden="false" customHeight="false" outlineLevel="0" collapsed="false">
      <c r="A190" s="10" t="s">
        <v>387</v>
      </c>
      <c r="B190" s="10" t="s">
        <v>388</v>
      </c>
      <c r="C190" s="10" t="s">
        <v>25</v>
      </c>
      <c r="D190" s="10" t="s">
        <v>13</v>
      </c>
      <c r="E190" s="10" t="s">
        <v>122</v>
      </c>
      <c r="F190" s="11" t="n">
        <v>4118855.84</v>
      </c>
      <c r="G190" s="11" t="n">
        <v>3999880.33</v>
      </c>
      <c r="H190" s="11" t="n">
        <v>3241024.85</v>
      </c>
      <c r="I190" s="12" t="n">
        <v>8667</v>
      </c>
    </row>
    <row r="191" customFormat="false" ht="15" hidden="false" customHeight="false" outlineLevel="0" collapsed="false">
      <c r="A191" s="10" t="s">
        <v>389</v>
      </c>
      <c r="B191" s="10" t="s">
        <v>390</v>
      </c>
      <c r="C191" s="10" t="s">
        <v>21</v>
      </c>
      <c r="D191" s="10" t="s">
        <v>11</v>
      </c>
      <c r="E191" s="10" t="s">
        <v>58</v>
      </c>
      <c r="F191" s="11" t="n">
        <v>6998917.56</v>
      </c>
      <c r="G191" s="11" t="n">
        <v>6691823.53</v>
      </c>
      <c r="H191" s="11" t="n">
        <v>5981511.96</v>
      </c>
      <c r="I191" s="12" t="n">
        <v>5940</v>
      </c>
    </row>
    <row r="192" customFormat="false" ht="15" hidden="false" customHeight="false" outlineLevel="0" collapsed="false">
      <c r="A192" s="10" t="s">
        <v>391</v>
      </c>
      <c r="B192" s="10" t="s">
        <v>392</v>
      </c>
      <c r="C192" s="10" t="s">
        <v>29</v>
      </c>
      <c r="D192" s="10" t="s">
        <v>11</v>
      </c>
      <c r="E192" s="10" t="s">
        <v>104</v>
      </c>
      <c r="F192" s="11" t="n">
        <v>2996963.38</v>
      </c>
      <c r="G192" s="11" t="n">
        <v>2899025.52</v>
      </c>
      <c r="H192" s="11" t="n">
        <v>2272346.72</v>
      </c>
      <c r="I192" s="12" t="n">
        <v>2329</v>
      </c>
    </row>
    <row r="193" customFormat="false" ht="15" hidden="false" customHeight="false" outlineLevel="0" collapsed="false">
      <c r="A193" s="10" t="s">
        <v>393</v>
      </c>
      <c r="B193" s="10" t="s">
        <v>394</v>
      </c>
      <c r="C193" s="10" t="s">
        <v>29</v>
      </c>
      <c r="D193" s="10" t="s">
        <v>13</v>
      </c>
      <c r="E193" s="10" t="s">
        <v>44</v>
      </c>
      <c r="F193" s="11" t="n">
        <v>2144662.89</v>
      </c>
      <c r="G193" s="11" t="n">
        <v>2002357.38</v>
      </c>
      <c r="H193" s="11" t="n">
        <v>1472923.86</v>
      </c>
      <c r="I193" s="12" t="n">
        <v>3650</v>
      </c>
    </row>
    <row r="194" customFormat="false" ht="15" hidden="false" customHeight="false" outlineLevel="0" collapsed="false">
      <c r="A194" s="10" t="s">
        <v>395</v>
      </c>
      <c r="B194" s="10" t="s">
        <v>396</v>
      </c>
      <c r="C194" s="10" t="s">
        <v>29</v>
      </c>
      <c r="D194" s="10" t="s">
        <v>11</v>
      </c>
      <c r="E194" s="10" t="s">
        <v>165</v>
      </c>
      <c r="F194" s="11" t="n">
        <v>6882396.26</v>
      </c>
      <c r="G194" s="11" t="n">
        <v>6541768.08</v>
      </c>
      <c r="H194" s="11" t="n">
        <v>4976057.87</v>
      </c>
      <c r="I194" s="12" t="n">
        <v>3313</v>
      </c>
    </row>
    <row r="195" customFormat="false" ht="15" hidden="false" customHeight="false" outlineLevel="0" collapsed="false">
      <c r="A195" s="10" t="s">
        <v>397</v>
      </c>
      <c r="B195" s="10" t="s">
        <v>398</v>
      </c>
      <c r="C195" s="10" t="s">
        <v>21</v>
      </c>
      <c r="D195" s="10" t="s">
        <v>11</v>
      </c>
      <c r="E195" s="10" t="s">
        <v>165</v>
      </c>
      <c r="F195" s="11" t="n">
        <v>366122.24</v>
      </c>
      <c r="G195" s="11" t="n">
        <v>342184.79</v>
      </c>
      <c r="H195" s="11" t="n">
        <v>245557.87</v>
      </c>
      <c r="I195" s="12" t="n">
        <v>5044</v>
      </c>
    </row>
    <row r="196" customFormat="false" ht="15" hidden="false" customHeight="false" outlineLevel="0" collapsed="false">
      <c r="A196" s="10" t="s">
        <v>399</v>
      </c>
      <c r="B196" s="10" t="s">
        <v>400</v>
      </c>
      <c r="C196" s="10" t="s">
        <v>21</v>
      </c>
      <c r="D196" s="10" t="s">
        <v>10</v>
      </c>
      <c r="E196" s="10" t="s">
        <v>30</v>
      </c>
      <c r="F196" s="11" t="n">
        <v>5610517.54</v>
      </c>
      <c r="G196" s="11" t="n">
        <v>5278488.66</v>
      </c>
      <c r="H196" s="11" t="n">
        <v>3419392.92</v>
      </c>
      <c r="I196" s="12" t="n">
        <v>8363</v>
      </c>
    </row>
    <row r="197" customFormat="false" ht="15" hidden="false" customHeight="false" outlineLevel="0" collapsed="false">
      <c r="A197" s="10" t="s">
        <v>401</v>
      </c>
      <c r="B197" s="10" t="s">
        <v>402</v>
      </c>
      <c r="C197" s="10" t="s">
        <v>29</v>
      </c>
      <c r="D197" s="10" t="s">
        <v>10</v>
      </c>
      <c r="E197" s="10" t="s">
        <v>30</v>
      </c>
      <c r="F197" s="11" t="n">
        <v>7358060.22</v>
      </c>
      <c r="G197" s="11" t="n">
        <v>7294260.2</v>
      </c>
      <c r="H197" s="11" t="n">
        <v>6280282.42</v>
      </c>
      <c r="I197" s="12" t="n">
        <v>1458</v>
      </c>
    </row>
    <row r="198" customFormat="false" ht="15" hidden="false" customHeight="false" outlineLevel="0" collapsed="false">
      <c r="A198" s="10" t="s">
        <v>403</v>
      </c>
      <c r="B198" s="10" t="s">
        <v>404</v>
      </c>
      <c r="C198" s="10" t="s">
        <v>29</v>
      </c>
      <c r="D198" s="10" t="s">
        <v>13</v>
      </c>
      <c r="E198" s="10" t="s">
        <v>122</v>
      </c>
      <c r="F198" s="11" t="n">
        <v>3253228.55</v>
      </c>
      <c r="G198" s="11" t="n">
        <v>3246806.9</v>
      </c>
      <c r="H198" s="11" t="n">
        <v>1963970.33</v>
      </c>
      <c r="I198" s="12" t="n">
        <v>1201</v>
      </c>
    </row>
    <row r="199" customFormat="false" ht="15" hidden="false" customHeight="false" outlineLevel="0" collapsed="false">
      <c r="A199" s="10" t="s">
        <v>405</v>
      </c>
      <c r="B199" s="10" t="s">
        <v>406</v>
      </c>
      <c r="C199" s="10" t="s">
        <v>21</v>
      </c>
      <c r="D199" s="10" t="s">
        <v>12</v>
      </c>
      <c r="E199" s="10" t="s">
        <v>99</v>
      </c>
      <c r="F199" s="11" t="n">
        <v>1914760.16</v>
      </c>
      <c r="G199" s="11" t="n">
        <v>1788738.59</v>
      </c>
      <c r="H199" s="11" t="n">
        <v>1162600.1</v>
      </c>
      <c r="I199" s="12" t="n">
        <v>1428</v>
      </c>
    </row>
    <row r="200" customFormat="false" ht="15" hidden="false" customHeight="false" outlineLevel="0" collapsed="false">
      <c r="A200" s="10" t="s">
        <v>407</v>
      </c>
      <c r="B200" s="10" t="s">
        <v>408</v>
      </c>
      <c r="C200" s="10" t="s">
        <v>21</v>
      </c>
      <c r="D200" s="10" t="s">
        <v>13</v>
      </c>
      <c r="E200" s="10" t="s">
        <v>122</v>
      </c>
      <c r="F200" s="11" t="n">
        <v>2118601.08</v>
      </c>
      <c r="G200" s="11" t="n">
        <v>2109203.98</v>
      </c>
      <c r="H200" s="11" t="n">
        <v>1438253.58</v>
      </c>
      <c r="I200" s="12" t="n">
        <v>2123</v>
      </c>
    </row>
    <row r="201" customFormat="false" ht="15" hidden="false" customHeight="false" outlineLevel="0" collapsed="false">
      <c r="A201" s="10" t="s">
        <v>409</v>
      </c>
      <c r="B201" s="10" t="s">
        <v>410</v>
      </c>
      <c r="C201" s="10" t="s">
        <v>21</v>
      </c>
      <c r="D201" s="10" t="s">
        <v>12</v>
      </c>
      <c r="E201" s="10" t="s">
        <v>99</v>
      </c>
      <c r="F201" s="11" t="n">
        <v>5312022.36</v>
      </c>
      <c r="G201" s="11" t="n">
        <v>5184005.09</v>
      </c>
      <c r="H201" s="11" t="n">
        <v>3698660.17</v>
      </c>
      <c r="I201" s="12" t="n">
        <v>6938</v>
      </c>
    </row>
    <row r="202" customFormat="false" ht="15" hidden="false" customHeight="false" outlineLevel="0" collapsed="false">
      <c r="A202" s="10" t="s">
        <v>411</v>
      </c>
      <c r="B202" s="10" t="s">
        <v>412</v>
      </c>
      <c r="C202" s="10" t="s">
        <v>21</v>
      </c>
      <c r="D202" s="10" t="s">
        <v>13</v>
      </c>
      <c r="E202" s="10" t="s">
        <v>265</v>
      </c>
      <c r="F202" s="11" t="n">
        <v>1567672.73</v>
      </c>
      <c r="G202" s="11" t="n">
        <v>1514214.08</v>
      </c>
      <c r="H202" s="11" t="n">
        <v>1252608.16</v>
      </c>
      <c r="I202" s="12" t="n">
        <v>4186</v>
      </c>
    </row>
    <row r="203" customFormat="false" ht="15" hidden="false" customHeight="false" outlineLevel="0" collapsed="false">
      <c r="A203" s="10" t="s">
        <v>413</v>
      </c>
      <c r="B203" s="10" t="s">
        <v>414</v>
      </c>
      <c r="C203" s="10" t="s">
        <v>21</v>
      </c>
      <c r="D203" s="10" t="s">
        <v>12</v>
      </c>
      <c r="E203" s="10" t="s">
        <v>99</v>
      </c>
      <c r="F203" s="11" t="n">
        <v>1675728.19</v>
      </c>
      <c r="G203" s="11" t="n">
        <v>1588676.91</v>
      </c>
      <c r="H203" s="11" t="n">
        <v>1338994.44</v>
      </c>
      <c r="I203" s="12" t="n">
        <v>4168</v>
      </c>
    </row>
    <row r="204" customFormat="false" ht="15" hidden="false" customHeight="false" outlineLevel="0" collapsed="false">
      <c r="A204" s="10" t="s">
        <v>415</v>
      </c>
      <c r="B204" s="10" t="s">
        <v>416</v>
      </c>
      <c r="C204" s="10" t="s">
        <v>21</v>
      </c>
      <c r="D204" s="10" t="s">
        <v>10</v>
      </c>
      <c r="E204" s="10" t="s">
        <v>33</v>
      </c>
      <c r="F204" s="11" t="n">
        <v>6983375.19</v>
      </c>
      <c r="G204" s="11" t="n">
        <v>6882514.82</v>
      </c>
      <c r="H204" s="11" t="n">
        <v>5643356.87</v>
      </c>
      <c r="I204" s="12" t="n">
        <v>8255</v>
      </c>
    </row>
    <row r="205" customFormat="false" ht="15" hidden="false" customHeight="false" outlineLevel="0" collapsed="false">
      <c r="A205" s="10" t="s">
        <v>417</v>
      </c>
      <c r="B205" s="10" t="s">
        <v>418</v>
      </c>
      <c r="C205" s="10" t="s">
        <v>21</v>
      </c>
      <c r="D205" s="10" t="s">
        <v>12</v>
      </c>
      <c r="E205" s="10" t="s">
        <v>99</v>
      </c>
      <c r="F205" s="11" t="n">
        <v>1515837.98</v>
      </c>
      <c r="G205" s="11" t="n">
        <v>1443454.27</v>
      </c>
      <c r="H205" s="11" t="n">
        <v>938209.55</v>
      </c>
      <c r="I205" s="12" t="n">
        <v>2885</v>
      </c>
    </row>
    <row r="206" customFormat="false" ht="15" hidden="false" customHeight="false" outlineLevel="0" collapsed="false">
      <c r="A206" s="10" t="s">
        <v>419</v>
      </c>
      <c r="B206" s="10" t="s">
        <v>420</v>
      </c>
      <c r="C206" s="10" t="s">
        <v>21</v>
      </c>
      <c r="D206" s="10" t="s">
        <v>12</v>
      </c>
      <c r="E206" s="10" t="s">
        <v>99</v>
      </c>
      <c r="F206" s="11" t="n">
        <v>5020781.99</v>
      </c>
      <c r="G206" s="11" t="n">
        <v>4945408.65</v>
      </c>
      <c r="H206" s="11" t="n">
        <v>3936974.77</v>
      </c>
      <c r="I206" s="12" t="n">
        <v>807</v>
      </c>
    </row>
    <row r="207" customFormat="false" ht="15" hidden="false" customHeight="false" outlineLevel="0" collapsed="false">
      <c r="A207" s="10" t="s">
        <v>421</v>
      </c>
      <c r="B207" s="10" t="s">
        <v>422</v>
      </c>
      <c r="C207" s="10" t="s">
        <v>25</v>
      </c>
      <c r="D207" s="10" t="s">
        <v>12</v>
      </c>
      <c r="E207" s="10" t="s">
        <v>36</v>
      </c>
      <c r="F207" s="11" t="n">
        <v>1887358.71</v>
      </c>
      <c r="G207" s="11" t="n">
        <v>1760098.63</v>
      </c>
      <c r="H207" s="11" t="n">
        <v>1606982.38</v>
      </c>
      <c r="I207" s="12" t="n">
        <v>6921</v>
      </c>
    </row>
    <row r="208" customFormat="false" ht="15" hidden="false" customHeight="false" outlineLevel="0" collapsed="false">
      <c r="A208" s="10" t="s">
        <v>423</v>
      </c>
      <c r="B208" s="10" t="s">
        <v>424</v>
      </c>
      <c r="C208" s="10" t="s">
        <v>29</v>
      </c>
      <c r="D208" s="10" t="s">
        <v>10</v>
      </c>
      <c r="E208" s="10" t="s">
        <v>33</v>
      </c>
      <c r="F208" s="11" t="n">
        <v>2320416.66</v>
      </c>
      <c r="G208" s="11" t="n">
        <v>2284282.81</v>
      </c>
      <c r="H208" s="11" t="n">
        <v>1670823.04</v>
      </c>
      <c r="I208" s="12" t="n">
        <v>3360</v>
      </c>
    </row>
    <row r="209" customFormat="false" ht="15" hidden="false" customHeight="false" outlineLevel="0" collapsed="false">
      <c r="A209" s="10" t="s">
        <v>425</v>
      </c>
      <c r="B209" s="10" t="s">
        <v>426</v>
      </c>
      <c r="C209" s="10" t="s">
        <v>21</v>
      </c>
      <c r="D209" s="10" t="s">
        <v>13</v>
      </c>
      <c r="E209" s="10" t="s">
        <v>81</v>
      </c>
      <c r="F209" s="11" t="n">
        <v>401491.31</v>
      </c>
      <c r="G209" s="11" t="n">
        <v>381710</v>
      </c>
      <c r="H209" s="11" t="n">
        <v>314163.5</v>
      </c>
      <c r="I209" s="12" t="n">
        <v>3772</v>
      </c>
    </row>
    <row r="210" customFormat="false" ht="15" hidden="false" customHeight="false" outlineLevel="0" collapsed="false">
      <c r="A210" s="10" t="s">
        <v>427</v>
      </c>
      <c r="B210" s="10" t="s">
        <v>428</v>
      </c>
      <c r="C210" s="10" t="s">
        <v>29</v>
      </c>
      <c r="D210" s="10" t="s">
        <v>10</v>
      </c>
      <c r="E210" s="10" t="s">
        <v>30</v>
      </c>
      <c r="F210" s="11" t="n">
        <v>2749337.5</v>
      </c>
      <c r="G210" s="11" t="n">
        <v>2721952.33</v>
      </c>
      <c r="H210" s="11" t="n">
        <v>1684085.56</v>
      </c>
      <c r="I210" s="12" t="n">
        <v>7085</v>
      </c>
    </row>
    <row r="211" customFormat="false" ht="15" hidden="false" customHeight="false" outlineLevel="0" collapsed="false">
      <c r="A211" s="10" t="s">
        <v>429</v>
      </c>
      <c r="B211" s="10" t="s">
        <v>430</v>
      </c>
      <c r="C211" s="10" t="s">
        <v>21</v>
      </c>
      <c r="D211" s="10" t="s">
        <v>13</v>
      </c>
      <c r="E211" s="10" t="s">
        <v>122</v>
      </c>
      <c r="F211" s="11" t="n">
        <v>1576280.51</v>
      </c>
      <c r="G211" s="11" t="n">
        <v>1485776.36</v>
      </c>
      <c r="H211" s="11" t="n">
        <v>1300252.45</v>
      </c>
      <c r="I211" s="12" t="n">
        <v>3079</v>
      </c>
    </row>
    <row r="212" customFormat="false" ht="15" hidden="false" customHeight="false" outlineLevel="0" collapsed="false">
      <c r="A212" s="10" t="s">
        <v>431</v>
      </c>
      <c r="B212" s="10" t="s">
        <v>432</v>
      </c>
      <c r="C212" s="10" t="s">
        <v>21</v>
      </c>
      <c r="D212" s="10" t="s">
        <v>10</v>
      </c>
      <c r="E212" s="10" t="s">
        <v>33</v>
      </c>
      <c r="F212" s="11" t="n">
        <v>2471196.24</v>
      </c>
      <c r="G212" s="11" t="n">
        <v>2437866.8</v>
      </c>
      <c r="H212" s="11" t="n">
        <v>1640364.51</v>
      </c>
      <c r="I212" s="12" t="n">
        <v>7248</v>
      </c>
    </row>
    <row r="213" customFormat="false" ht="15" hidden="false" customHeight="false" outlineLevel="0" collapsed="false">
      <c r="A213" s="10" t="s">
        <v>433</v>
      </c>
      <c r="B213" s="10" t="s">
        <v>434</v>
      </c>
      <c r="C213" s="10" t="s">
        <v>29</v>
      </c>
      <c r="D213" s="10" t="s">
        <v>12</v>
      </c>
      <c r="E213" s="10" t="s">
        <v>68</v>
      </c>
      <c r="F213" s="11" t="n">
        <v>2861231.57</v>
      </c>
      <c r="G213" s="11" t="n">
        <v>2778639.89</v>
      </c>
      <c r="H213" s="11" t="n">
        <v>2220489.18</v>
      </c>
      <c r="I213" s="12" t="n">
        <v>8948</v>
      </c>
    </row>
    <row r="214" customFormat="false" ht="15" hidden="false" customHeight="false" outlineLevel="0" collapsed="false">
      <c r="A214" s="10" t="s">
        <v>435</v>
      </c>
      <c r="B214" s="10" t="s">
        <v>436</v>
      </c>
      <c r="C214" s="10" t="s">
        <v>25</v>
      </c>
      <c r="D214" s="10" t="s">
        <v>9</v>
      </c>
      <c r="E214" s="10" t="s">
        <v>154</v>
      </c>
      <c r="F214" s="11" t="n">
        <v>6319901.53</v>
      </c>
      <c r="G214" s="11" t="n">
        <v>5921144.34</v>
      </c>
      <c r="H214" s="11" t="n">
        <v>3881823.12</v>
      </c>
      <c r="I214" s="12" t="n">
        <v>6796</v>
      </c>
    </row>
    <row r="215" customFormat="false" ht="15" hidden="false" customHeight="false" outlineLevel="0" collapsed="false">
      <c r="A215" s="10" t="s">
        <v>437</v>
      </c>
      <c r="B215" s="10" t="s">
        <v>438</v>
      </c>
      <c r="C215" s="10" t="s">
        <v>29</v>
      </c>
      <c r="D215" s="10" t="s">
        <v>9</v>
      </c>
      <c r="E215" s="10" t="s">
        <v>65</v>
      </c>
      <c r="F215" s="11" t="n">
        <v>3962709.46</v>
      </c>
      <c r="G215" s="11" t="n">
        <v>3792860.07</v>
      </c>
      <c r="H215" s="11" t="n">
        <v>3159549.44</v>
      </c>
      <c r="I215" s="12" t="n">
        <v>3404</v>
      </c>
    </row>
    <row r="216" customFormat="false" ht="15" hidden="false" customHeight="false" outlineLevel="0" collapsed="false">
      <c r="A216" s="10"/>
      <c r="B216" s="10" t="s">
        <v>439</v>
      </c>
      <c r="C216" s="10" t="s">
        <v>64</v>
      </c>
      <c r="D216" s="10" t="s">
        <v>13</v>
      </c>
      <c r="E216" s="10" t="s">
        <v>22</v>
      </c>
      <c r="F216" s="11" t="n">
        <v>5961615.57</v>
      </c>
      <c r="G216" s="11" t="n">
        <v>5957194.11</v>
      </c>
      <c r="H216" s="11" t="n">
        <v>4414779.11</v>
      </c>
      <c r="I216" s="12" t="n">
        <v>0</v>
      </c>
    </row>
    <row r="217" customFormat="false" ht="15" hidden="false" customHeight="false" outlineLevel="0" collapsed="false">
      <c r="A217" s="10" t="s">
        <v>440</v>
      </c>
      <c r="B217" s="10" t="s">
        <v>441</v>
      </c>
      <c r="C217" s="10" t="s">
        <v>21</v>
      </c>
      <c r="D217" s="10" t="s">
        <v>13</v>
      </c>
      <c r="E217" s="10" t="s">
        <v>81</v>
      </c>
      <c r="F217" s="11" t="n">
        <v>6882989.87</v>
      </c>
      <c r="G217" s="11" t="n">
        <v>6633545.04</v>
      </c>
      <c r="H217" s="11" t="n">
        <v>5017644.92</v>
      </c>
      <c r="I217" s="12" t="n">
        <v>7575</v>
      </c>
    </row>
    <row r="218" customFormat="false" ht="15" hidden="false" customHeight="false" outlineLevel="0" collapsed="false">
      <c r="A218" s="10" t="s">
        <v>442</v>
      </c>
      <c r="B218" s="10" t="s">
        <v>443</v>
      </c>
      <c r="C218" s="10" t="s">
        <v>21</v>
      </c>
      <c r="D218" s="10" t="s">
        <v>13</v>
      </c>
      <c r="E218" s="10" t="s">
        <v>265</v>
      </c>
      <c r="F218" s="11" t="n">
        <v>7142151.94</v>
      </c>
      <c r="G218" s="11" t="n">
        <v>6934037.77</v>
      </c>
      <c r="H218" s="11" t="n">
        <v>5548610.38</v>
      </c>
      <c r="I218" s="12" t="n">
        <v>8415</v>
      </c>
    </row>
    <row r="219" customFormat="false" ht="15" hidden="false" customHeight="false" outlineLevel="0" collapsed="false">
      <c r="A219" s="10"/>
      <c r="B219" s="10" t="s">
        <v>444</v>
      </c>
      <c r="C219" s="10" t="s">
        <v>64</v>
      </c>
      <c r="D219" s="10" t="s">
        <v>11</v>
      </c>
      <c r="E219" s="10" t="s">
        <v>58</v>
      </c>
      <c r="F219" s="11" t="n">
        <v>4364327.26</v>
      </c>
      <c r="G219" s="11" t="n">
        <v>4226264.18</v>
      </c>
      <c r="H219" s="11" t="n">
        <v>2995177.84</v>
      </c>
      <c r="I219" s="12" t="n">
        <v>0</v>
      </c>
    </row>
    <row r="220" customFormat="false" ht="15" hidden="false" customHeight="false" outlineLevel="0" collapsed="false">
      <c r="A220" s="10" t="s">
        <v>445</v>
      </c>
      <c r="B220" s="10" t="s">
        <v>446</v>
      </c>
      <c r="C220" s="10" t="s">
        <v>21</v>
      </c>
      <c r="D220" s="10" t="s">
        <v>9</v>
      </c>
      <c r="E220" s="10" t="s">
        <v>220</v>
      </c>
      <c r="F220" s="11" t="n">
        <v>5890906.87</v>
      </c>
      <c r="G220" s="11" t="n">
        <v>5528094.07</v>
      </c>
      <c r="H220" s="11" t="n">
        <v>4888641.88</v>
      </c>
      <c r="I220" s="12" t="n">
        <v>5750</v>
      </c>
    </row>
    <row r="221" customFormat="false" ht="15" hidden="false" customHeight="false" outlineLevel="0" collapsed="false">
      <c r="A221" s="10" t="s">
        <v>93</v>
      </c>
      <c r="B221" s="10" t="s">
        <v>94</v>
      </c>
      <c r="C221" s="10" t="s">
        <v>21</v>
      </c>
      <c r="D221" s="10" t="s">
        <v>9</v>
      </c>
      <c r="E221" s="10" t="s">
        <v>65</v>
      </c>
      <c r="F221" s="11" t="n">
        <v>2559398.16</v>
      </c>
      <c r="G221" s="11" t="n">
        <v>2523596.11</v>
      </c>
      <c r="H221" s="11" t="n">
        <v>1874348.88</v>
      </c>
      <c r="I221" s="12" t="n">
        <v>2456</v>
      </c>
    </row>
    <row r="222" customFormat="false" ht="15" hidden="false" customHeight="false" outlineLevel="0" collapsed="false">
      <c r="A222" s="10" t="s">
        <v>447</v>
      </c>
      <c r="B222" s="10" t="s">
        <v>448</v>
      </c>
      <c r="C222" s="10" t="s">
        <v>25</v>
      </c>
      <c r="D222" s="10" t="s">
        <v>10</v>
      </c>
      <c r="E222" s="10" t="s">
        <v>30</v>
      </c>
      <c r="F222" s="11" t="n">
        <v>1064645.78</v>
      </c>
      <c r="G222" s="11" t="n">
        <v>1023456.6</v>
      </c>
      <c r="H222" s="11" t="n">
        <v>735255.32</v>
      </c>
      <c r="I222" s="12" t="n">
        <v>2493</v>
      </c>
    </row>
    <row r="223" customFormat="false" ht="15" hidden="false" customHeight="false" outlineLevel="0" collapsed="false">
      <c r="A223" s="10" t="s">
        <v>449</v>
      </c>
      <c r="B223" s="10" t="s">
        <v>450</v>
      </c>
      <c r="C223" s="10" t="s">
        <v>29</v>
      </c>
      <c r="D223" s="10" t="s">
        <v>12</v>
      </c>
      <c r="E223" s="10" t="s">
        <v>174</v>
      </c>
      <c r="F223" s="11" t="n">
        <v>1509020.89</v>
      </c>
      <c r="G223" s="11" t="n">
        <v>1428471.31</v>
      </c>
      <c r="H223" s="11" t="n">
        <v>1089084.08</v>
      </c>
      <c r="I223" s="12" t="n">
        <v>7504</v>
      </c>
    </row>
    <row r="224" customFormat="false" ht="15" hidden="false" customHeight="false" outlineLevel="0" collapsed="false">
      <c r="A224" s="10" t="s">
        <v>451</v>
      </c>
      <c r="B224" s="10" t="s">
        <v>452</v>
      </c>
      <c r="C224" s="10" t="s">
        <v>25</v>
      </c>
      <c r="D224" s="10" t="s">
        <v>10</v>
      </c>
      <c r="E224" s="10" t="s">
        <v>33</v>
      </c>
      <c r="F224" s="11" t="n">
        <v>682705.34</v>
      </c>
      <c r="G224" s="11" t="n">
        <v>648938.36</v>
      </c>
      <c r="H224" s="11" t="n">
        <v>448235.63</v>
      </c>
      <c r="I224" s="12" t="n">
        <v>2292</v>
      </c>
    </row>
    <row r="225" customFormat="false" ht="15" hidden="false" customHeight="false" outlineLevel="0" collapsed="false">
      <c r="A225" s="10" t="s">
        <v>453</v>
      </c>
      <c r="B225" s="10" t="s">
        <v>454</v>
      </c>
      <c r="C225" s="10" t="s">
        <v>29</v>
      </c>
      <c r="D225" s="10" t="s">
        <v>10</v>
      </c>
      <c r="E225" s="10" t="s">
        <v>30</v>
      </c>
      <c r="F225" s="11" t="n">
        <v>538219.49</v>
      </c>
      <c r="G225" s="11" t="n">
        <v>533039.43</v>
      </c>
      <c r="H225" s="11" t="n">
        <v>323721.4</v>
      </c>
      <c r="I225" s="12" t="n">
        <v>2401</v>
      </c>
    </row>
    <row r="226" customFormat="false" ht="15" hidden="false" customHeight="false" outlineLevel="0" collapsed="false">
      <c r="A226" s="10" t="s">
        <v>455</v>
      </c>
      <c r="B226" s="10" t="s">
        <v>456</v>
      </c>
      <c r="C226" s="10" t="s">
        <v>29</v>
      </c>
      <c r="D226" s="10" t="s">
        <v>12</v>
      </c>
      <c r="E226" s="10" t="s">
        <v>55</v>
      </c>
      <c r="F226" s="11" t="n">
        <v>6447951.27</v>
      </c>
      <c r="G226" s="11" t="n">
        <v>6300268.63</v>
      </c>
      <c r="H226" s="11" t="n">
        <v>4106686.58</v>
      </c>
      <c r="I226" s="12" t="n">
        <v>2250</v>
      </c>
    </row>
    <row r="227" customFormat="false" ht="15" hidden="false" customHeight="false" outlineLevel="0" collapsed="false">
      <c r="A227" s="10" t="s">
        <v>457</v>
      </c>
      <c r="B227" s="10" t="s">
        <v>458</v>
      </c>
      <c r="C227" s="10" t="s">
        <v>21</v>
      </c>
      <c r="D227" s="10" t="s">
        <v>12</v>
      </c>
      <c r="E227" s="10" t="s">
        <v>90</v>
      </c>
      <c r="F227" s="11" t="n">
        <v>1696021.16</v>
      </c>
      <c r="G227" s="11" t="n">
        <v>1631561.44</v>
      </c>
      <c r="H227" s="11" t="n">
        <v>1366891.04</v>
      </c>
      <c r="I227" s="12" t="n">
        <v>5152</v>
      </c>
    </row>
    <row r="228" customFormat="false" ht="15" hidden="false" customHeight="false" outlineLevel="0" collapsed="false">
      <c r="A228" s="10" t="s">
        <v>459</v>
      </c>
      <c r="B228" s="10" t="s">
        <v>460</v>
      </c>
      <c r="C228" s="10" t="s">
        <v>21</v>
      </c>
      <c r="D228" s="10" t="s">
        <v>13</v>
      </c>
      <c r="E228" s="10" t="s">
        <v>143</v>
      </c>
      <c r="F228" s="11" t="n">
        <v>2041221.16</v>
      </c>
      <c r="G228" s="11" t="n">
        <v>1946570.13</v>
      </c>
      <c r="H228" s="11" t="n">
        <v>1366177.92</v>
      </c>
      <c r="I228" s="12" t="n">
        <v>2057</v>
      </c>
    </row>
    <row r="229" customFormat="false" ht="15" hidden="false" customHeight="false" outlineLevel="0" collapsed="false">
      <c r="A229" s="10" t="s">
        <v>461</v>
      </c>
      <c r="B229" s="10" t="s">
        <v>462</v>
      </c>
      <c r="C229" s="10" t="s">
        <v>21</v>
      </c>
      <c r="D229" s="10" t="s">
        <v>11</v>
      </c>
      <c r="E229" s="10" t="s">
        <v>165</v>
      </c>
      <c r="F229" s="11" t="n">
        <v>913932.04</v>
      </c>
      <c r="G229" s="11" t="n">
        <v>913606.18</v>
      </c>
      <c r="H229" s="11" t="n">
        <v>680198.68</v>
      </c>
      <c r="I229" s="12" t="n">
        <v>7570</v>
      </c>
    </row>
    <row r="230" customFormat="false" ht="15" hidden="false" customHeight="false" outlineLevel="0" collapsed="false">
      <c r="A230" s="10" t="s">
        <v>463</v>
      </c>
      <c r="B230" s="10" t="s">
        <v>464</v>
      </c>
      <c r="C230" s="10" t="s">
        <v>21</v>
      </c>
      <c r="D230" s="10" t="s">
        <v>12</v>
      </c>
      <c r="E230" s="10" t="s">
        <v>55</v>
      </c>
      <c r="F230" s="11" t="n">
        <v>3497554.29</v>
      </c>
      <c r="G230" s="11" t="n">
        <v>3320652.62</v>
      </c>
      <c r="H230" s="11" t="n">
        <v>2550952</v>
      </c>
      <c r="I230" s="12" t="n">
        <v>1294</v>
      </c>
    </row>
    <row r="231" customFormat="false" ht="15" hidden="false" customHeight="false" outlineLevel="0" collapsed="false">
      <c r="A231" s="10" t="s">
        <v>139</v>
      </c>
      <c r="B231" s="10" t="s">
        <v>140</v>
      </c>
      <c r="C231" s="10" t="s">
        <v>21</v>
      </c>
      <c r="D231" s="10" t="s">
        <v>9</v>
      </c>
      <c r="E231" s="10" t="s">
        <v>47</v>
      </c>
      <c r="F231" s="11" t="n">
        <v>5767895.46</v>
      </c>
      <c r="G231" s="11" t="n">
        <v>5454836.46</v>
      </c>
      <c r="H231" s="11" t="n">
        <v>4420977.33</v>
      </c>
      <c r="I231" s="12" t="n">
        <v>5935</v>
      </c>
    </row>
    <row r="232" customFormat="false" ht="15" hidden="false" customHeight="false" outlineLevel="0" collapsed="false">
      <c r="A232" s="10" t="s">
        <v>465</v>
      </c>
      <c r="B232" s="10" t="s">
        <v>466</v>
      </c>
      <c r="C232" s="10" t="s">
        <v>21</v>
      </c>
      <c r="D232" s="10" t="s">
        <v>12</v>
      </c>
      <c r="E232" s="10" t="s">
        <v>68</v>
      </c>
      <c r="F232" s="11" t="n">
        <v>5694687.26</v>
      </c>
      <c r="G232" s="11" t="n">
        <v>5623429.56</v>
      </c>
      <c r="H232" s="11" t="n">
        <v>4445524.82</v>
      </c>
      <c r="I232" s="12" t="n">
        <v>6814</v>
      </c>
    </row>
    <row r="233" customFormat="false" ht="15" hidden="false" customHeight="false" outlineLevel="0" collapsed="false">
      <c r="A233" s="10" t="s">
        <v>467</v>
      </c>
      <c r="B233" s="10" t="s">
        <v>468</v>
      </c>
      <c r="C233" s="10" t="s">
        <v>21</v>
      </c>
      <c r="D233" s="10" t="s">
        <v>10</v>
      </c>
      <c r="E233" s="10" t="s">
        <v>30</v>
      </c>
      <c r="F233" s="11" t="n">
        <v>7068566.45</v>
      </c>
      <c r="G233" s="11" t="n">
        <v>6831281.05</v>
      </c>
      <c r="H233" s="11" t="n">
        <v>5209755.78</v>
      </c>
      <c r="I233" s="12" t="n">
        <v>1965</v>
      </c>
    </row>
    <row r="234" customFormat="false" ht="15" hidden="false" customHeight="false" outlineLevel="0" collapsed="false">
      <c r="A234" s="10" t="s">
        <v>469</v>
      </c>
      <c r="B234" s="10" t="s">
        <v>470</v>
      </c>
      <c r="C234" s="10" t="s">
        <v>29</v>
      </c>
      <c r="D234" s="10" t="s">
        <v>9</v>
      </c>
      <c r="E234" s="10" t="s">
        <v>220</v>
      </c>
      <c r="F234" s="11" t="n">
        <v>1608723.74</v>
      </c>
      <c r="G234" s="11" t="n">
        <v>1606042.02</v>
      </c>
      <c r="H234" s="11" t="n">
        <v>1078912.1</v>
      </c>
      <c r="I234" s="12" t="n">
        <v>2043</v>
      </c>
    </row>
    <row r="235" customFormat="false" ht="15" hidden="false" customHeight="false" outlineLevel="0" collapsed="false">
      <c r="A235" s="10" t="s">
        <v>471</v>
      </c>
      <c r="B235" s="10" t="s">
        <v>472</v>
      </c>
      <c r="C235" s="10" t="s">
        <v>29</v>
      </c>
      <c r="D235" s="10" t="s">
        <v>9</v>
      </c>
      <c r="E235" s="10" t="s">
        <v>26</v>
      </c>
      <c r="F235" s="11" t="n">
        <v>4475122.76</v>
      </c>
      <c r="G235" s="11" t="n">
        <v>4211076.22</v>
      </c>
      <c r="H235" s="11" t="n">
        <v>3519805.46</v>
      </c>
      <c r="I235" s="12" t="n">
        <v>1974</v>
      </c>
    </row>
    <row r="236" customFormat="false" ht="15" hidden="false" customHeight="false" outlineLevel="0" collapsed="false">
      <c r="A236" s="10" t="s">
        <v>473</v>
      </c>
      <c r="B236" s="10" t="s">
        <v>474</v>
      </c>
      <c r="C236" s="10" t="s">
        <v>21</v>
      </c>
      <c r="D236" s="10" t="s">
        <v>10</v>
      </c>
      <c r="E236" s="10" t="s">
        <v>30</v>
      </c>
      <c r="F236" s="11" t="n">
        <v>5838686.95</v>
      </c>
      <c r="G236" s="11" t="n">
        <v>5489915.74</v>
      </c>
      <c r="H236" s="11" t="n">
        <v>4134732.78</v>
      </c>
      <c r="I236" s="12" t="n">
        <v>3912</v>
      </c>
    </row>
    <row r="237" customFormat="false" ht="15" hidden="false" customHeight="false" outlineLevel="0" collapsed="false">
      <c r="A237" s="10" t="s">
        <v>475</v>
      </c>
      <c r="B237" s="10" t="s">
        <v>476</v>
      </c>
      <c r="C237" s="10" t="s">
        <v>21</v>
      </c>
      <c r="D237" s="10" t="s">
        <v>9</v>
      </c>
      <c r="E237" s="10" t="s">
        <v>154</v>
      </c>
      <c r="F237" s="11" t="n">
        <v>4033763.01</v>
      </c>
      <c r="G237" s="11" t="n">
        <v>3786870.8</v>
      </c>
      <c r="H237" s="11" t="n">
        <v>3321561.18</v>
      </c>
      <c r="I237" s="12" t="n">
        <v>5624</v>
      </c>
    </row>
    <row r="238" customFormat="false" ht="15" hidden="false" customHeight="false" outlineLevel="0" collapsed="false">
      <c r="A238" s="10" t="s">
        <v>477</v>
      </c>
      <c r="B238" s="10" t="s">
        <v>478</v>
      </c>
      <c r="C238" s="10" t="s">
        <v>21</v>
      </c>
      <c r="D238" s="10" t="s">
        <v>13</v>
      </c>
      <c r="E238" s="10" t="s">
        <v>122</v>
      </c>
      <c r="F238" s="11" t="n">
        <v>1380835.56</v>
      </c>
      <c r="G238" s="11" t="n">
        <v>1318519.18</v>
      </c>
      <c r="H238" s="11" t="n">
        <v>1080736.65</v>
      </c>
      <c r="I238" s="12" t="n">
        <v>6158</v>
      </c>
    </row>
    <row r="239" customFormat="false" ht="15" hidden="false" customHeight="false" outlineLevel="0" collapsed="false">
      <c r="A239" s="10" t="s">
        <v>479</v>
      </c>
      <c r="B239" s="10" t="s">
        <v>480</v>
      </c>
      <c r="C239" s="10" t="s">
        <v>21</v>
      </c>
      <c r="D239" s="10" t="s">
        <v>11</v>
      </c>
      <c r="E239" s="10" t="s">
        <v>39</v>
      </c>
      <c r="F239" s="11" t="n">
        <v>3830053.49</v>
      </c>
      <c r="G239" s="11" t="n">
        <v>3585856.87</v>
      </c>
      <c r="H239" s="11" t="n">
        <v>2312713</v>
      </c>
      <c r="I239" s="12" t="n">
        <v>2081</v>
      </c>
    </row>
    <row r="240" customFormat="false" ht="15" hidden="false" customHeight="false" outlineLevel="0" collapsed="false">
      <c r="A240" s="10" t="s">
        <v>481</v>
      </c>
      <c r="B240" s="10" t="s">
        <v>482</v>
      </c>
      <c r="C240" s="10" t="s">
        <v>25</v>
      </c>
      <c r="D240" s="10" t="s">
        <v>9</v>
      </c>
      <c r="E240" s="10" t="s">
        <v>52</v>
      </c>
      <c r="F240" s="11" t="n">
        <v>6555342.62</v>
      </c>
      <c r="G240" s="11" t="n">
        <v>6413588.85</v>
      </c>
      <c r="H240" s="11" t="n">
        <v>4098904.1</v>
      </c>
      <c r="I240" s="12" t="n">
        <v>2144</v>
      </c>
    </row>
    <row r="241" customFormat="false" ht="15" hidden="false" customHeight="false" outlineLevel="0" collapsed="false">
      <c r="A241" s="10" t="s">
        <v>483</v>
      </c>
      <c r="B241" s="10" t="s">
        <v>484</v>
      </c>
      <c r="C241" s="10" t="s">
        <v>21</v>
      </c>
      <c r="D241" s="10" t="s">
        <v>12</v>
      </c>
      <c r="E241" s="10" t="s">
        <v>174</v>
      </c>
      <c r="F241" s="11" t="n">
        <v>4604115.9</v>
      </c>
      <c r="G241" s="11" t="n">
        <v>4392127.27</v>
      </c>
      <c r="H241" s="11" t="n">
        <v>3409353.22</v>
      </c>
      <c r="I241" s="12" t="n">
        <v>5085</v>
      </c>
    </row>
    <row r="242" customFormat="false" ht="15" hidden="false" customHeight="false" outlineLevel="0" collapsed="false">
      <c r="A242" s="10" t="s">
        <v>485</v>
      </c>
      <c r="B242" s="10" t="s">
        <v>486</v>
      </c>
      <c r="C242" s="10" t="s">
        <v>25</v>
      </c>
      <c r="D242" s="10" t="s">
        <v>9</v>
      </c>
      <c r="E242" s="10" t="s">
        <v>47</v>
      </c>
      <c r="F242" s="11" t="n">
        <v>6018173.99</v>
      </c>
      <c r="G242" s="11" t="n">
        <v>5925942.92</v>
      </c>
      <c r="H242" s="11" t="n">
        <v>4437826.74</v>
      </c>
      <c r="I242" s="12" t="n">
        <v>6644</v>
      </c>
    </row>
    <row r="243" customFormat="false" ht="15" hidden="false" customHeight="false" outlineLevel="0" collapsed="false">
      <c r="A243" s="10" t="s">
        <v>487</v>
      </c>
      <c r="B243" s="10" t="s">
        <v>488</v>
      </c>
      <c r="C243" s="10" t="s">
        <v>21</v>
      </c>
      <c r="D243" s="10" t="s">
        <v>10</v>
      </c>
      <c r="E243" s="10" t="s">
        <v>33</v>
      </c>
      <c r="F243" s="11" t="n">
        <v>1050260.08</v>
      </c>
      <c r="G243" s="11" t="n">
        <v>1032711.31</v>
      </c>
      <c r="H243" s="11" t="n">
        <v>848404.3</v>
      </c>
      <c r="I243" s="12" t="n">
        <v>1576</v>
      </c>
    </row>
    <row r="244" customFormat="false" ht="15" hidden="false" customHeight="false" outlineLevel="0" collapsed="false">
      <c r="A244" s="10" t="s">
        <v>489</v>
      </c>
      <c r="B244" s="10" t="s">
        <v>490</v>
      </c>
      <c r="C244" s="10" t="s">
        <v>21</v>
      </c>
      <c r="D244" s="10" t="s">
        <v>9</v>
      </c>
      <c r="E244" s="10" t="s">
        <v>220</v>
      </c>
      <c r="F244" s="11" t="n">
        <v>5424364.18</v>
      </c>
      <c r="G244" s="11" t="n">
        <v>5092384.49</v>
      </c>
      <c r="H244" s="11" t="n">
        <v>3632075.46</v>
      </c>
      <c r="I244" s="12" t="n">
        <v>8177</v>
      </c>
    </row>
    <row r="245" customFormat="false" ht="15" hidden="false" customHeight="false" outlineLevel="0" collapsed="false">
      <c r="A245" s="10" t="s">
        <v>491</v>
      </c>
      <c r="B245" s="10" t="s">
        <v>492</v>
      </c>
      <c r="C245" s="10" t="s">
        <v>21</v>
      </c>
      <c r="D245" s="10" t="s">
        <v>10</v>
      </c>
      <c r="E245" s="10" t="s">
        <v>33</v>
      </c>
      <c r="F245" s="11" t="n">
        <v>7057247.13</v>
      </c>
      <c r="G245" s="11" t="n">
        <v>6861606.57</v>
      </c>
      <c r="H245" s="11" t="n">
        <v>5793531.38</v>
      </c>
      <c r="I245" s="12" t="n">
        <v>3537</v>
      </c>
    </row>
    <row r="246" customFormat="false" ht="15" hidden="false" customHeight="false" outlineLevel="0" collapsed="false">
      <c r="A246" s="10" t="s">
        <v>493</v>
      </c>
      <c r="B246" s="10" t="s">
        <v>494</v>
      </c>
      <c r="C246" s="10" t="s">
        <v>25</v>
      </c>
      <c r="D246" s="10" t="s">
        <v>10</v>
      </c>
      <c r="E246" s="10" t="s">
        <v>33</v>
      </c>
      <c r="F246" s="11" t="n">
        <v>6262595.79</v>
      </c>
      <c r="G246" s="11" t="n">
        <v>5918631.36</v>
      </c>
      <c r="H246" s="11" t="n">
        <v>4774495.34</v>
      </c>
      <c r="I246" s="12" t="n">
        <v>2514</v>
      </c>
    </row>
    <row r="247" customFormat="false" ht="15" hidden="false" customHeight="false" outlineLevel="0" collapsed="false">
      <c r="A247" s="10" t="s">
        <v>495</v>
      </c>
      <c r="B247" s="10" t="s">
        <v>496</v>
      </c>
      <c r="C247" s="10" t="s">
        <v>21</v>
      </c>
      <c r="D247" s="10" t="s">
        <v>13</v>
      </c>
      <c r="E247" s="10" t="s">
        <v>122</v>
      </c>
      <c r="F247" s="11" t="n">
        <v>3007527.08</v>
      </c>
      <c r="G247" s="11" t="n">
        <v>2909832.81</v>
      </c>
      <c r="H247" s="11" t="n">
        <v>1814438.93</v>
      </c>
      <c r="I247" s="12" t="n">
        <v>1352</v>
      </c>
    </row>
    <row r="248" customFormat="false" ht="15" hidden="false" customHeight="false" outlineLevel="0" collapsed="false">
      <c r="A248" s="10" t="s">
        <v>497</v>
      </c>
      <c r="B248" s="10" t="s">
        <v>498</v>
      </c>
      <c r="C248" s="10" t="s">
        <v>21</v>
      </c>
      <c r="D248" s="10" t="s">
        <v>9</v>
      </c>
      <c r="E248" s="10" t="s">
        <v>220</v>
      </c>
      <c r="F248" s="11" t="n">
        <v>2781741.44</v>
      </c>
      <c r="G248" s="11" t="n">
        <v>2645693.13</v>
      </c>
      <c r="H248" s="11" t="n">
        <v>2012064.11</v>
      </c>
      <c r="I248" s="12" t="n">
        <v>2789</v>
      </c>
    </row>
    <row r="249" customFormat="false" ht="15" hidden="false" customHeight="false" outlineLevel="0" collapsed="false">
      <c r="A249" s="10" t="s">
        <v>499</v>
      </c>
      <c r="B249" s="10" t="s">
        <v>500</v>
      </c>
      <c r="C249" s="10" t="s">
        <v>21</v>
      </c>
      <c r="D249" s="10" t="s">
        <v>9</v>
      </c>
      <c r="E249" s="10" t="s">
        <v>220</v>
      </c>
      <c r="F249" s="11" t="n">
        <v>6047009.66</v>
      </c>
      <c r="G249" s="11" t="n">
        <v>5908361.1</v>
      </c>
      <c r="H249" s="11" t="n">
        <v>4166861.98</v>
      </c>
      <c r="I249" s="12" t="n">
        <v>3721</v>
      </c>
    </row>
    <row r="250" customFormat="false" ht="15" hidden="false" customHeight="false" outlineLevel="0" collapsed="false">
      <c r="A250" s="10" t="s">
        <v>501</v>
      </c>
      <c r="B250" s="10" t="s">
        <v>502</v>
      </c>
      <c r="C250" s="10" t="s">
        <v>29</v>
      </c>
      <c r="D250" s="10" t="s">
        <v>10</v>
      </c>
      <c r="E250" s="10" t="s">
        <v>33</v>
      </c>
      <c r="F250" s="11" t="n">
        <v>6317995.03</v>
      </c>
      <c r="G250" s="11" t="n">
        <v>5915194.59</v>
      </c>
      <c r="H250" s="11" t="n">
        <v>3804315.49</v>
      </c>
      <c r="I250" s="12" t="n">
        <v>1047</v>
      </c>
    </row>
    <row r="251" customFormat="false" ht="15" hidden="false" customHeight="false" outlineLevel="0" collapsed="false">
      <c r="A251" s="10" t="s">
        <v>503</v>
      </c>
      <c r="B251" s="10" t="s">
        <v>504</v>
      </c>
      <c r="C251" s="10" t="s">
        <v>29</v>
      </c>
      <c r="D251" s="10" t="s">
        <v>11</v>
      </c>
      <c r="E251" s="10" t="s">
        <v>39</v>
      </c>
      <c r="F251" s="11" t="n">
        <v>1447845.67</v>
      </c>
      <c r="G251" s="11" t="n">
        <v>1383398.79</v>
      </c>
      <c r="H251" s="11" t="n">
        <v>1110517.25</v>
      </c>
      <c r="I251" s="12" t="n">
        <v>6327</v>
      </c>
    </row>
    <row r="252" customFormat="false" ht="15" hidden="false" customHeight="false" outlineLevel="0" collapsed="false">
      <c r="A252" s="10" t="s">
        <v>505</v>
      </c>
      <c r="B252" s="10" t="s">
        <v>506</v>
      </c>
      <c r="C252" s="10" t="s">
        <v>29</v>
      </c>
      <c r="D252" s="10" t="s">
        <v>11</v>
      </c>
      <c r="E252" s="10" t="s">
        <v>58</v>
      </c>
      <c r="F252" s="11" t="n">
        <v>2149466.75</v>
      </c>
      <c r="G252" s="11" t="n">
        <v>2096403.77</v>
      </c>
      <c r="H252" s="11" t="n">
        <v>1595821.32</v>
      </c>
      <c r="I252" s="12" t="n">
        <v>6076</v>
      </c>
    </row>
    <row r="253" customFormat="false" ht="15" hidden="false" customHeight="false" outlineLevel="0" collapsed="false">
      <c r="A253" s="10" t="s">
        <v>507</v>
      </c>
      <c r="B253" s="10" t="s">
        <v>508</v>
      </c>
      <c r="C253" s="10" t="s">
        <v>21</v>
      </c>
      <c r="D253" s="10" t="s">
        <v>9</v>
      </c>
      <c r="E253" s="10" t="s">
        <v>154</v>
      </c>
      <c r="F253" s="11" t="n">
        <v>3447585.67</v>
      </c>
      <c r="G253" s="11" t="n">
        <v>3266613.8</v>
      </c>
      <c r="H253" s="11" t="n">
        <v>2450248.4</v>
      </c>
      <c r="I253" s="12" t="n">
        <v>6176</v>
      </c>
    </row>
    <row r="254" customFormat="false" ht="15" hidden="false" customHeight="false" outlineLevel="0" collapsed="false">
      <c r="A254" s="10" t="s">
        <v>509</v>
      </c>
      <c r="B254" s="10" t="s">
        <v>510</v>
      </c>
      <c r="C254" s="10" t="s">
        <v>29</v>
      </c>
      <c r="D254" s="10" t="s">
        <v>10</v>
      </c>
      <c r="E254" s="10" t="s">
        <v>30</v>
      </c>
      <c r="F254" s="11" t="n">
        <v>1574124.49</v>
      </c>
      <c r="G254" s="11" t="n">
        <v>1547542.07</v>
      </c>
      <c r="H254" s="11" t="n">
        <v>1095197.09</v>
      </c>
      <c r="I254" s="12" t="n">
        <v>899</v>
      </c>
    </row>
    <row r="255" customFormat="false" ht="15" hidden="false" customHeight="false" outlineLevel="0" collapsed="false">
      <c r="A255" s="10" t="s">
        <v>511</v>
      </c>
      <c r="B255" s="10" t="s">
        <v>512</v>
      </c>
      <c r="C255" s="10" t="s">
        <v>25</v>
      </c>
      <c r="D255" s="10" t="s">
        <v>13</v>
      </c>
      <c r="E255" s="10" t="s">
        <v>122</v>
      </c>
      <c r="F255" s="11" t="n">
        <v>6482828.15</v>
      </c>
      <c r="G255" s="11" t="n">
        <v>6309319.16</v>
      </c>
      <c r="H255" s="11" t="n">
        <v>5400060.07</v>
      </c>
      <c r="I255" s="12" t="n">
        <v>8849</v>
      </c>
    </row>
    <row r="256" customFormat="false" ht="15" hidden="false" customHeight="false" outlineLevel="0" collapsed="false">
      <c r="A256" s="10" t="s">
        <v>513</v>
      </c>
      <c r="B256" s="10" t="s">
        <v>514</v>
      </c>
      <c r="C256" s="10" t="s">
        <v>21</v>
      </c>
      <c r="D256" s="10" t="s">
        <v>10</v>
      </c>
      <c r="E256" s="10" t="s">
        <v>33</v>
      </c>
      <c r="F256" s="11" t="n">
        <v>4197700.58</v>
      </c>
      <c r="G256" s="11" t="n">
        <v>3925055.56</v>
      </c>
      <c r="H256" s="11" t="n">
        <v>3416725.22</v>
      </c>
      <c r="I256" s="12" t="n">
        <v>2651</v>
      </c>
    </row>
    <row r="257" customFormat="false" ht="15" hidden="false" customHeight="false" outlineLevel="0" collapsed="false">
      <c r="A257" s="10" t="s">
        <v>515</v>
      </c>
      <c r="B257" s="10" t="s">
        <v>516</v>
      </c>
      <c r="C257" s="10" t="s">
        <v>21</v>
      </c>
      <c r="D257" s="10" t="s">
        <v>12</v>
      </c>
      <c r="E257" s="10" t="s">
        <v>55</v>
      </c>
      <c r="F257" s="11" t="n">
        <v>4807797.46</v>
      </c>
      <c r="G257" s="11" t="n">
        <v>4509286.29</v>
      </c>
      <c r="H257" s="11" t="n">
        <v>4018928.97</v>
      </c>
      <c r="I257" s="12" t="n">
        <v>2290</v>
      </c>
    </row>
    <row r="258" customFormat="false" ht="15" hidden="false" customHeight="false" outlineLevel="0" collapsed="false">
      <c r="A258" s="10" t="s">
        <v>517</v>
      </c>
      <c r="B258" s="10" t="s">
        <v>518</v>
      </c>
      <c r="C258" s="10" t="s">
        <v>29</v>
      </c>
      <c r="D258" s="10" t="s">
        <v>11</v>
      </c>
      <c r="E258" s="10" t="s">
        <v>71</v>
      </c>
      <c r="F258" s="11" t="n">
        <v>3776827.3</v>
      </c>
      <c r="G258" s="11" t="n">
        <v>3705202.5</v>
      </c>
      <c r="H258" s="11" t="n">
        <v>2794518.29</v>
      </c>
      <c r="I258" s="12" t="n">
        <v>6420</v>
      </c>
    </row>
    <row r="259" customFormat="false" ht="15" hidden="false" customHeight="false" outlineLevel="0" collapsed="false">
      <c r="A259" s="10" t="s">
        <v>519</v>
      </c>
      <c r="B259" s="10" t="s">
        <v>520</v>
      </c>
      <c r="C259" s="10" t="s">
        <v>25</v>
      </c>
      <c r="D259" s="10" t="s">
        <v>10</v>
      </c>
      <c r="E259" s="10" t="s">
        <v>33</v>
      </c>
      <c r="F259" s="11" t="n">
        <v>1927948.57</v>
      </c>
      <c r="G259" s="11" t="n">
        <v>1889232.11</v>
      </c>
      <c r="H259" s="11" t="n">
        <v>1174484.4</v>
      </c>
      <c r="I259" s="12" t="n">
        <v>2371</v>
      </c>
    </row>
    <row r="260" customFormat="false" ht="15" hidden="false" customHeight="false" outlineLevel="0" collapsed="false">
      <c r="A260" s="10" t="s">
        <v>521</v>
      </c>
      <c r="B260" s="10" t="s">
        <v>522</v>
      </c>
      <c r="C260" s="10" t="s">
        <v>29</v>
      </c>
      <c r="D260" s="10" t="s">
        <v>13</v>
      </c>
      <c r="E260" s="10" t="s">
        <v>81</v>
      </c>
      <c r="F260" s="11" t="n">
        <v>1033588.03</v>
      </c>
      <c r="G260" s="11" t="n">
        <v>967073.32</v>
      </c>
      <c r="H260" s="11" t="n">
        <v>834799.02</v>
      </c>
      <c r="I260" s="12" t="n">
        <v>8351</v>
      </c>
    </row>
    <row r="261" customFormat="false" ht="15" hidden="false" customHeight="false" outlineLevel="0" collapsed="false">
      <c r="A261" s="10" t="s">
        <v>523</v>
      </c>
      <c r="B261" s="10" t="s">
        <v>524</v>
      </c>
      <c r="C261" s="10" t="s">
        <v>29</v>
      </c>
      <c r="D261" s="10" t="s">
        <v>12</v>
      </c>
      <c r="E261" s="10" t="s">
        <v>90</v>
      </c>
      <c r="F261" s="11" t="n">
        <v>3674540.92</v>
      </c>
      <c r="G261" s="11" t="n">
        <v>3433780.43</v>
      </c>
      <c r="H261" s="11" t="n">
        <v>3020416.08</v>
      </c>
      <c r="I261" s="12" t="n">
        <v>942</v>
      </c>
    </row>
    <row r="262" customFormat="false" ht="15" hidden="false" customHeight="false" outlineLevel="0" collapsed="false">
      <c r="A262" s="10" t="s">
        <v>525</v>
      </c>
      <c r="B262" s="10" t="s">
        <v>526</v>
      </c>
      <c r="C262" s="10" t="s">
        <v>21</v>
      </c>
      <c r="D262" s="10" t="s">
        <v>10</v>
      </c>
      <c r="E262" s="10" t="s">
        <v>33</v>
      </c>
      <c r="F262" s="11" t="n">
        <v>2816229.25</v>
      </c>
      <c r="G262" s="11" t="n">
        <v>2694737.58</v>
      </c>
      <c r="H262" s="11" t="n">
        <v>2099570.94</v>
      </c>
      <c r="I262" s="12" t="n">
        <v>6588</v>
      </c>
    </row>
    <row r="263" customFormat="false" ht="15" hidden="false" customHeight="false" outlineLevel="0" collapsed="false">
      <c r="A263" s="10" t="s">
        <v>527</v>
      </c>
      <c r="B263" s="10" t="s">
        <v>528</v>
      </c>
      <c r="C263" s="10" t="s">
        <v>21</v>
      </c>
      <c r="D263" s="10" t="s">
        <v>9</v>
      </c>
      <c r="E263" s="10" t="s">
        <v>47</v>
      </c>
      <c r="F263" s="11" t="n">
        <v>2022438.11</v>
      </c>
      <c r="G263" s="11" t="n">
        <v>2009118.92</v>
      </c>
      <c r="H263" s="11" t="n">
        <v>1416734.9</v>
      </c>
      <c r="I263" s="12" t="n">
        <v>2141</v>
      </c>
    </row>
    <row r="264" customFormat="false" ht="15" hidden="false" customHeight="false" outlineLevel="0" collapsed="false">
      <c r="A264" s="10" t="s">
        <v>529</v>
      </c>
      <c r="B264" s="10" t="s">
        <v>530</v>
      </c>
      <c r="C264" s="10" t="s">
        <v>21</v>
      </c>
      <c r="D264" s="10" t="s">
        <v>13</v>
      </c>
      <c r="E264" s="10" t="s">
        <v>81</v>
      </c>
      <c r="F264" s="11" t="n">
        <v>460441.64</v>
      </c>
      <c r="G264" s="11" t="n">
        <v>434754.83</v>
      </c>
      <c r="H264" s="11" t="n">
        <v>310354.14</v>
      </c>
      <c r="I264" s="12" t="n">
        <v>758</v>
      </c>
    </row>
    <row r="265" customFormat="false" ht="15" hidden="false" customHeight="false" outlineLevel="0" collapsed="false">
      <c r="A265" s="10" t="s">
        <v>531</v>
      </c>
      <c r="B265" s="10" t="s">
        <v>532</v>
      </c>
      <c r="C265" s="10" t="s">
        <v>21</v>
      </c>
      <c r="D265" s="10" t="s">
        <v>9</v>
      </c>
      <c r="E265" s="10" t="s">
        <v>127</v>
      </c>
      <c r="F265" s="11" t="n">
        <v>1480857.84</v>
      </c>
      <c r="G265" s="11" t="n">
        <v>1390952.13</v>
      </c>
      <c r="H265" s="11" t="n">
        <v>1149012.74</v>
      </c>
      <c r="I265" s="12" t="n">
        <v>1213</v>
      </c>
    </row>
    <row r="266" customFormat="false" ht="15" hidden="false" customHeight="false" outlineLevel="0" collapsed="false">
      <c r="A266" s="10" t="s">
        <v>533</v>
      </c>
      <c r="B266" s="10" t="s">
        <v>534</v>
      </c>
      <c r="C266" s="10" t="s">
        <v>21</v>
      </c>
      <c r="D266" s="10" t="s">
        <v>9</v>
      </c>
      <c r="E266" s="10" t="s">
        <v>47</v>
      </c>
      <c r="F266" s="11" t="n">
        <v>3484388.62</v>
      </c>
      <c r="G266" s="11" t="n">
        <v>3440595.75</v>
      </c>
      <c r="H266" s="11" t="n">
        <v>2910025.19</v>
      </c>
      <c r="I266" s="12" t="n">
        <v>5878</v>
      </c>
    </row>
    <row r="267" customFormat="false" ht="15" hidden="false" customHeight="false" outlineLevel="0" collapsed="false">
      <c r="A267" s="10" t="s">
        <v>535</v>
      </c>
      <c r="B267" s="10" t="s">
        <v>536</v>
      </c>
      <c r="C267" s="10" t="s">
        <v>21</v>
      </c>
      <c r="D267" s="10" t="s">
        <v>12</v>
      </c>
      <c r="E267" s="10" t="s">
        <v>174</v>
      </c>
      <c r="F267" s="11" t="n">
        <v>3660647.69</v>
      </c>
      <c r="G267" s="11" t="n">
        <v>3462829.05</v>
      </c>
      <c r="H267" s="11" t="n">
        <v>2575973.81</v>
      </c>
      <c r="I267" s="12" t="n">
        <v>7526</v>
      </c>
    </row>
    <row r="268" customFormat="false" ht="15" hidden="false" customHeight="false" outlineLevel="0" collapsed="false">
      <c r="A268" s="10" t="s">
        <v>537</v>
      </c>
      <c r="B268" s="10" t="s">
        <v>538</v>
      </c>
      <c r="C268" s="10" t="s">
        <v>21</v>
      </c>
      <c r="D268" s="10" t="s">
        <v>10</v>
      </c>
      <c r="E268" s="10" t="s">
        <v>30</v>
      </c>
      <c r="F268" s="11" t="n">
        <v>3759708.95</v>
      </c>
      <c r="G268" s="11" t="n">
        <v>3535084.14</v>
      </c>
      <c r="H268" s="11" t="n">
        <v>2797871.51</v>
      </c>
      <c r="I268" s="12" t="n">
        <v>733</v>
      </c>
    </row>
    <row r="269" customFormat="false" ht="15" hidden="false" customHeight="false" outlineLevel="0" collapsed="false">
      <c r="A269" s="10" t="s">
        <v>539</v>
      </c>
      <c r="B269" s="10" t="s">
        <v>540</v>
      </c>
      <c r="C269" s="10" t="s">
        <v>29</v>
      </c>
      <c r="D269" s="10" t="s">
        <v>9</v>
      </c>
      <c r="E269" s="10" t="s">
        <v>220</v>
      </c>
      <c r="F269" s="11" t="n">
        <v>5433699.92</v>
      </c>
      <c r="G269" s="11" t="n">
        <v>5069630.43</v>
      </c>
      <c r="H269" s="11" t="n">
        <v>3507761.75</v>
      </c>
      <c r="I269" s="12" t="n">
        <v>2739</v>
      </c>
    </row>
    <row r="270" customFormat="false" ht="15" hidden="false" customHeight="false" outlineLevel="0" collapsed="false">
      <c r="A270" s="10" t="s">
        <v>541</v>
      </c>
      <c r="B270" s="10" t="s">
        <v>542</v>
      </c>
      <c r="C270" s="10" t="s">
        <v>21</v>
      </c>
      <c r="D270" s="10" t="s">
        <v>9</v>
      </c>
      <c r="E270" s="10" t="s">
        <v>220</v>
      </c>
      <c r="F270" s="11" t="n">
        <v>3471196.97</v>
      </c>
      <c r="G270" s="11" t="n">
        <v>3231982.37</v>
      </c>
      <c r="H270" s="11" t="n">
        <v>2488280.24</v>
      </c>
      <c r="I270" s="12" t="n">
        <v>5675</v>
      </c>
    </row>
    <row r="271" customFormat="false" ht="15" hidden="false" customHeight="false" outlineLevel="0" collapsed="false">
      <c r="A271" s="10" t="s">
        <v>543</v>
      </c>
      <c r="B271" s="10" t="s">
        <v>544</v>
      </c>
      <c r="C271" s="10" t="s">
        <v>21</v>
      </c>
      <c r="D271" s="10" t="s">
        <v>12</v>
      </c>
      <c r="E271" s="10" t="s">
        <v>90</v>
      </c>
      <c r="F271" s="11" t="n">
        <v>3202830.93</v>
      </c>
      <c r="G271" s="11" t="n">
        <v>3085564.56</v>
      </c>
      <c r="H271" s="11" t="n">
        <v>2721893.55</v>
      </c>
      <c r="I271" s="12" t="n">
        <v>553</v>
      </c>
    </row>
    <row r="272" customFormat="false" ht="15" hidden="false" customHeight="false" outlineLevel="0" collapsed="false">
      <c r="A272" s="10" t="s">
        <v>545</v>
      </c>
      <c r="B272" s="10" t="s">
        <v>546</v>
      </c>
      <c r="C272" s="10" t="s">
        <v>29</v>
      </c>
      <c r="D272" s="10" t="s">
        <v>11</v>
      </c>
      <c r="E272" s="10" t="s">
        <v>104</v>
      </c>
      <c r="F272" s="11" t="n">
        <v>6948115.34</v>
      </c>
      <c r="G272" s="11" t="n">
        <v>6860633.02</v>
      </c>
      <c r="H272" s="11" t="n">
        <v>4283383.58</v>
      </c>
      <c r="I272" s="12" t="n">
        <v>5973</v>
      </c>
    </row>
    <row r="273" customFormat="false" ht="15" hidden="false" customHeight="false" outlineLevel="0" collapsed="false">
      <c r="A273" s="10" t="s">
        <v>547</v>
      </c>
      <c r="B273" s="10" t="s">
        <v>548</v>
      </c>
      <c r="C273" s="10" t="s">
        <v>21</v>
      </c>
      <c r="D273" s="10" t="s">
        <v>13</v>
      </c>
      <c r="E273" s="10" t="s">
        <v>122</v>
      </c>
      <c r="F273" s="11" t="n">
        <v>5341094.05</v>
      </c>
      <c r="G273" s="11" t="n">
        <v>5021814.94</v>
      </c>
      <c r="H273" s="11" t="n">
        <v>3702955.96</v>
      </c>
      <c r="I273" s="12" t="n">
        <v>4107</v>
      </c>
    </row>
    <row r="274" customFormat="false" ht="15" hidden="false" customHeight="false" outlineLevel="0" collapsed="false">
      <c r="A274" s="10" t="s">
        <v>549</v>
      </c>
      <c r="B274" s="10" t="s">
        <v>550</v>
      </c>
      <c r="C274" s="10" t="s">
        <v>21</v>
      </c>
      <c r="D274" s="10" t="s">
        <v>10</v>
      </c>
      <c r="E274" s="10" t="s">
        <v>33</v>
      </c>
      <c r="F274" s="11" t="n">
        <v>1206584.97</v>
      </c>
      <c r="G274" s="11" t="n">
        <v>1168544.44</v>
      </c>
      <c r="H274" s="11" t="n">
        <v>1029500.85</v>
      </c>
      <c r="I274" s="12" t="n">
        <v>1635</v>
      </c>
    </row>
    <row r="275" customFormat="false" ht="15" hidden="false" customHeight="false" outlineLevel="0" collapsed="false">
      <c r="A275" s="10" t="s">
        <v>551</v>
      </c>
      <c r="B275" s="10" t="s">
        <v>552</v>
      </c>
      <c r="C275" s="10" t="s">
        <v>21</v>
      </c>
      <c r="D275" s="10" t="s">
        <v>10</v>
      </c>
      <c r="E275" s="10" t="s">
        <v>33</v>
      </c>
      <c r="F275" s="11" t="n">
        <v>1377827.4</v>
      </c>
      <c r="G275" s="11" t="n">
        <v>1351342.37</v>
      </c>
      <c r="H275" s="11" t="n">
        <v>920350.35</v>
      </c>
      <c r="I275" s="12" t="n">
        <v>5682</v>
      </c>
    </row>
    <row r="276" customFormat="false" ht="15" hidden="false" customHeight="false" outlineLevel="0" collapsed="false">
      <c r="A276" s="10" t="s">
        <v>553</v>
      </c>
      <c r="B276" s="10" t="s">
        <v>554</v>
      </c>
      <c r="C276" s="10" t="s">
        <v>29</v>
      </c>
      <c r="D276" s="10" t="s">
        <v>10</v>
      </c>
      <c r="E276" s="10" t="s">
        <v>30</v>
      </c>
      <c r="F276" s="11" t="n">
        <v>2007966.06</v>
      </c>
      <c r="G276" s="11" t="n">
        <v>1978471.19</v>
      </c>
      <c r="H276" s="11" t="n">
        <v>1560287.13</v>
      </c>
      <c r="I276" s="12" t="n">
        <v>4694</v>
      </c>
    </row>
    <row r="277" customFormat="false" ht="15" hidden="false" customHeight="false" outlineLevel="0" collapsed="false">
      <c r="A277" s="10" t="s">
        <v>555</v>
      </c>
      <c r="B277" s="10" t="s">
        <v>556</v>
      </c>
      <c r="C277" s="10" t="s">
        <v>25</v>
      </c>
      <c r="D277" s="10" t="s">
        <v>10</v>
      </c>
      <c r="E277" s="10" t="s">
        <v>33</v>
      </c>
      <c r="F277" s="11" t="n">
        <v>3887777.07</v>
      </c>
      <c r="G277" s="11" t="n">
        <v>3755599.27</v>
      </c>
      <c r="H277" s="11" t="n">
        <v>3255211.94</v>
      </c>
      <c r="I277" s="12" t="n">
        <v>556</v>
      </c>
    </row>
    <row r="278" customFormat="false" ht="15" hidden="false" customHeight="false" outlineLevel="0" collapsed="false">
      <c r="A278" s="10" t="s">
        <v>557</v>
      </c>
      <c r="B278" s="10" t="s">
        <v>558</v>
      </c>
      <c r="C278" s="10" t="s">
        <v>21</v>
      </c>
      <c r="D278" s="10" t="s">
        <v>10</v>
      </c>
      <c r="E278" s="10" t="s">
        <v>33</v>
      </c>
      <c r="F278" s="11" t="n">
        <v>1252124.9</v>
      </c>
      <c r="G278" s="11" t="n">
        <v>1251491.24</v>
      </c>
      <c r="H278" s="11" t="n">
        <v>842884.85</v>
      </c>
      <c r="I278" s="12" t="n">
        <v>2842</v>
      </c>
    </row>
    <row r="279" customFormat="false" ht="15" hidden="false" customHeight="false" outlineLevel="0" collapsed="false">
      <c r="A279" s="10" t="s">
        <v>559</v>
      </c>
      <c r="B279" s="10" t="s">
        <v>560</v>
      </c>
      <c r="C279" s="10" t="s">
        <v>21</v>
      </c>
      <c r="D279" s="10" t="s">
        <v>11</v>
      </c>
      <c r="E279" s="10" t="s">
        <v>165</v>
      </c>
      <c r="F279" s="11" t="n">
        <v>7287460.54</v>
      </c>
      <c r="G279" s="11" t="n">
        <v>7146321.63</v>
      </c>
      <c r="H279" s="11" t="n">
        <v>4975402.15</v>
      </c>
      <c r="I279" s="12" t="n">
        <v>3454</v>
      </c>
    </row>
    <row r="280" customFormat="false" ht="15" hidden="false" customHeight="false" outlineLevel="0" collapsed="false">
      <c r="A280" s="10" t="s">
        <v>561</v>
      </c>
      <c r="B280" s="10" t="s">
        <v>562</v>
      </c>
      <c r="C280" s="10" t="s">
        <v>25</v>
      </c>
      <c r="D280" s="10" t="s">
        <v>12</v>
      </c>
      <c r="E280" s="10" t="s">
        <v>55</v>
      </c>
      <c r="F280" s="11" t="n">
        <v>1283004.9</v>
      </c>
      <c r="G280" s="11" t="n">
        <v>1224563.49</v>
      </c>
      <c r="H280" s="11" t="n">
        <v>987945.35</v>
      </c>
      <c r="I280" s="12" t="n">
        <v>7731</v>
      </c>
    </row>
    <row r="281" customFormat="false" ht="15" hidden="false" customHeight="false" outlineLevel="0" collapsed="false">
      <c r="A281" s="10" t="s">
        <v>563</v>
      </c>
      <c r="B281" s="10" t="s">
        <v>564</v>
      </c>
      <c r="C281" s="10" t="s">
        <v>21</v>
      </c>
      <c r="D281" s="10" t="s">
        <v>12</v>
      </c>
      <c r="E281" s="10" t="s">
        <v>99</v>
      </c>
      <c r="F281" s="11" t="n">
        <v>5648665.73</v>
      </c>
      <c r="G281" s="11" t="n">
        <v>5351293.88</v>
      </c>
      <c r="H281" s="11" t="n">
        <v>3429078.91</v>
      </c>
      <c r="I281" s="12" t="n">
        <v>2399</v>
      </c>
    </row>
    <row r="282" customFormat="false" ht="15" hidden="false" customHeight="false" outlineLevel="0" collapsed="false">
      <c r="A282" s="10" t="s">
        <v>565</v>
      </c>
      <c r="B282" s="10" t="s">
        <v>566</v>
      </c>
      <c r="C282" s="10" t="s">
        <v>21</v>
      </c>
      <c r="D282" s="10" t="s">
        <v>13</v>
      </c>
      <c r="E282" s="10" t="s">
        <v>22</v>
      </c>
      <c r="F282" s="11" t="n">
        <v>5089731.73</v>
      </c>
      <c r="G282" s="11" t="n">
        <v>5009891.88</v>
      </c>
      <c r="H282" s="11" t="n">
        <v>4342759.98</v>
      </c>
      <c r="I282" s="12" t="n">
        <v>1130</v>
      </c>
    </row>
    <row r="283" customFormat="false" ht="15" hidden="false" customHeight="false" outlineLevel="0" collapsed="false">
      <c r="A283" s="10" t="s">
        <v>567</v>
      </c>
      <c r="B283" s="10" t="s">
        <v>568</v>
      </c>
      <c r="C283" s="10" t="s">
        <v>21</v>
      </c>
      <c r="D283" s="10" t="s">
        <v>10</v>
      </c>
      <c r="E283" s="10" t="s">
        <v>33</v>
      </c>
      <c r="F283" s="11" t="n">
        <v>5549268.61</v>
      </c>
      <c r="G283" s="11" t="n">
        <v>5373881.35</v>
      </c>
      <c r="H283" s="11" t="n">
        <v>4183760.65</v>
      </c>
      <c r="I283" s="12" t="n">
        <v>5597</v>
      </c>
    </row>
    <row r="284" customFormat="false" ht="15" hidden="false" customHeight="false" outlineLevel="0" collapsed="false">
      <c r="A284" s="10" t="s">
        <v>569</v>
      </c>
      <c r="B284" s="10" t="s">
        <v>570</v>
      </c>
      <c r="C284" s="10" t="s">
        <v>21</v>
      </c>
      <c r="D284" s="10" t="s">
        <v>10</v>
      </c>
      <c r="E284" s="10" t="s">
        <v>33</v>
      </c>
      <c r="F284" s="11" t="n">
        <v>3227356.67</v>
      </c>
      <c r="G284" s="11" t="n">
        <v>3180973.73</v>
      </c>
      <c r="H284" s="11" t="n">
        <v>2508107.71</v>
      </c>
      <c r="I284" s="12" t="n">
        <v>539</v>
      </c>
    </row>
    <row r="285" customFormat="false" ht="15" hidden="false" customHeight="false" outlineLevel="0" collapsed="false">
      <c r="A285" s="10" t="s">
        <v>571</v>
      </c>
      <c r="B285" s="10" t="s">
        <v>572</v>
      </c>
      <c r="C285" s="10" t="s">
        <v>21</v>
      </c>
      <c r="D285" s="10" t="s">
        <v>9</v>
      </c>
      <c r="E285" s="10" t="s">
        <v>154</v>
      </c>
      <c r="F285" s="11" t="n">
        <v>7056906.6</v>
      </c>
      <c r="G285" s="11" t="n">
        <v>6961671.97</v>
      </c>
      <c r="H285" s="11" t="n">
        <v>4454976.75</v>
      </c>
      <c r="I285" s="12" t="n">
        <v>4107</v>
      </c>
    </row>
    <row r="286" customFormat="false" ht="15" hidden="false" customHeight="false" outlineLevel="0" collapsed="false">
      <c r="A286" s="10" t="s">
        <v>573</v>
      </c>
      <c r="B286" s="10" t="s">
        <v>574</v>
      </c>
      <c r="C286" s="10" t="s">
        <v>25</v>
      </c>
      <c r="D286" s="10" t="s">
        <v>11</v>
      </c>
      <c r="E286" s="10" t="s">
        <v>104</v>
      </c>
      <c r="F286" s="11" t="n">
        <v>4458335.89</v>
      </c>
      <c r="G286" s="11" t="n">
        <v>4337791.48</v>
      </c>
      <c r="H286" s="11" t="n">
        <v>2991070.57</v>
      </c>
      <c r="I286" s="12" t="n">
        <v>7988</v>
      </c>
    </row>
    <row r="287" customFormat="false" ht="15" hidden="false" customHeight="false" outlineLevel="0" collapsed="false">
      <c r="A287" s="10" t="s">
        <v>575</v>
      </c>
      <c r="B287" s="10" t="s">
        <v>576</v>
      </c>
      <c r="C287" s="10" t="s">
        <v>21</v>
      </c>
      <c r="D287" s="10" t="s">
        <v>12</v>
      </c>
      <c r="E287" s="10" t="s">
        <v>90</v>
      </c>
      <c r="F287" s="11" t="n">
        <v>3220611.3</v>
      </c>
      <c r="G287" s="11" t="n">
        <v>3172579.37</v>
      </c>
      <c r="H287" s="11" t="n">
        <v>2533556.78</v>
      </c>
      <c r="I287" s="12" t="n">
        <v>2604</v>
      </c>
    </row>
    <row r="288" customFormat="false" ht="15" hidden="false" customHeight="false" outlineLevel="0" collapsed="false">
      <c r="A288" s="10" t="s">
        <v>577</v>
      </c>
      <c r="B288" s="10" t="s">
        <v>578</v>
      </c>
      <c r="C288" s="10" t="s">
        <v>21</v>
      </c>
      <c r="D288" s="10" t="s">
        <v>12</v>
      </c>
      <c r="E288" s="10" t="s">
        <v>68</v>
      </c>
      <c r="F288" s="11" t="n">
        <v>1644033.58</v>
      </c>
      <c r="G288" s="11" t="n">
        <v>1612273.35</v>
      </c>
      <c r="H288" s="11" t="n">
        <v>1256312.8</v>
      </c>
      <c r="I288" s="12" t="n">
        <v>2864</v>
      </c>
    </row>
    <row r="289" customFormat="false" ht="15" hidden="false" customHeight="false" outlineLevel="0" collapsed="false">
      <c r="A289" s="10" t="s">
        <v>579</v>
      </c>
      <c r="B289" s="10" t="s">
        <v>580</v>
      </c>
      <c r="C289" s="10" t="s">
        <v>21</v>
      </c>
      <c r="D289" s="10" t="s">
        <v>12</v>
      </c>
      <c r="E289" s="10" t="s">
        <v>90</v>
      </c>
      <c r="F289" s="11" t="n">
        <v>3995338.53</v>
      </c>
      <c r="G289" s="11" t="n">
        <v>3847302.41</v>
      </c>
      <c r="H289" s="11" t="n">
        <v>2417504.72</v>
      </c>
      <c r="I289" s="12" t="n">
        <v>6168</v>
      </c>
    </row>
    <row r="290" customFormat="false" ht="15" hidden="false" customHeight="false" outlineLevel="0" collapsed="false">
      <c r="A290" s="10" t="s">
        <v>581</v>
      </c>
      <c r="B290" s="10" t="s">
        <v>582</v>
      </c>
      <c r="C290" s="10" t="s">
        <v>21</v>
      </c>
      <c r="D290" s="10" t="s">
        <v>12</v>
      </c>
      <c r="E290" s="10" t="s">
        <v>99</v>
      </c>
      <c r="F290" s="11" t="n">
        <v>256333.34</v>
      </c>
      <c r="G290" s="11" t="n">
        <v>249531.89</v>
      </c>
      <c r="H290" s="11" t="n">
        <v>178659.53</v>
      </c>
      <c r="I290" s="12" t="n">
        <v>2718</v>
      </c>
    </row>
    <row r="291" customFormat="false" ht="15" hidden="false" customHeight="false" outlineLevel="0" collapsed="false">
      <c r="A291" s="10" t="s">
        <v>583</v>
      </c>
      <c r="B291" s="10" t="s">
        <v>584</v>
      </c>
      <c r="C291" s="10" t="s">
        <v>25</v>
      </c>
      <c r="D291" s="10" t="s">
        <v>12</v>
      </c>
      <c r="E291" s="10" t="s">
        <v>90</v>
      </c>
      <c r="F291" s="11" t="n">
        <v>1428187.08</v>
      </c>
      <c r="G291" s="11" t="n">
        <v>1328253.23</v>
      </c>
      <c r="H291" s="11" t="n">
        <v>1041861.86</v>
      </c>
      <c r="I291" s="12" t="n">
        <v>4559</v>
      </c>
    </row>
    <row r="292" customFormat="false" ht="15" hidden="false" customHeight="false" outlineLevel="0" collapsed="false">
      <c r="A292" s="10" t="s">
        <v>585</v>
      </c>
      <c r="B292" s="10" t="s">
        <v>586</v>
      </c>
      <c r="C292" s="10" t="s">
        <v>21</v>
      </c>
      <c r="D292" s="10" t="s">
        <v>13</v>
      </c>
      <c r="E292" s="10" t="s">
        <v>143</v>
      </c>
      <c r="F292" s="11" t="n">
        <v>450044.91</v>
      </c>
      <c r="G292" s="11" t="n">
        <v>432731.06</v>
      </c>
      <c r="H292" s="11" t="n">
        <v>314889.19</v>
      </c>
      <c r="I292" s="12" t="n">
        <v>6177</v>
      </c>
    </row>
    <row r="293" customFormat="false" ht="15" hidden="false" customHeight="false" outlineLevel="0" collapsed="false">
      <c r="A293" s="10" t="s">
        <v>587</v>
      </c>
      <c r="B293" s="10" t="s">
        <v>588</v>
      </c>
      <c r="C293" s="10" t="s">
        <v>29</v>
      </c>
      <c r="D293" s="10" t="s">
        <v>10</v>
      </c>
      <c r="E293" s="10" t="s">
        <v>33</v>
      </c>
      <c r="F293" s="11" t="n">
        <v>1154010.26</v>
      </c>
      <c r="G293" s="11" t="n">
        <v>1151607.1</v>
      </c>
      <c r="H293" s="11" t="n">
        <v>736850.39</v>
      </c>
      <c r="I293" s="12" t="n">
        <v>6836</v>
      </c>
    </row>
    <row r="294" customFormat="false" ht="15" hidden="false" customHeight="false" outlineLevel="0" collapsed="false">
      <c r="A294" s="10" t="s">
        <v>589</v>
      </c>
      <c r="B294" s="10" t="s">
        <v>590</v>
      </c>
      <c r="C294" s="10" t="s">
        <v>25</v>
      </c>
      <c r="D294" s="10" t="s">
        <v>9</v>
      </c>
      <c r="E294" s="10" t="s">
        <v>127</v>
      </c>
      <c r="F294" s="11" t="n">
        <v>4305201.93</v>
      </c>
      <c r="G294" s="11" t="n">
        <v>4239605.01</v>
      </c>
      <c r="H294" s="11" t="n">
        <v>2661850.52</v>
      </c>
      <c r="I294" s="12" t="n">
        <v>3442</v>
      </c>
    </row>
    <row r="295" customFormat="false" ht="15" hidden="false" customHeight="false" outlineLevel="0" collapsed="false">
      <c r="A295" s="10" t="s">
        <v>591</v>
      </c>
      <c r="B295" s="10" t="s">
        <v>592</v>
      </c>
      <c r="C295" s="10" t="s">
        <v>25</v>
      </c>
      <c r="D295" s="10" t="s">
        <v>12</v>
      </c>
      <c r="E295" s="10" t="s">
        <v>68</v>
      </c>
      <c r="F295" s="11" t="n">
        <v>1924634.73</v>
      </c>
      <c r="G295" s="11" t="n">
        <v>1820067.71</v>
      </c>
      <c r="H295" s="11" t="n">
        <v>1652546.62</v>
      </c>
      <c r="I295" s="12" t="n">
        <v>3880</v>
      </c>
    </row>
    <row r="296" customFormat="false" ht="15" hidden="false" customHeight="false" outlineLevel="0" collapsed="false">
      <c r="A296" s="10" t="s">
        <v>593</v>
      </c>
      <c r="B296" s="10" t="s">
        <v>594</v>
      </c>
      <c r="C296" s="10" t="s">
        <v>25</v>
      </c>
      <c r="D296" s="10" t="s">
        <v>12</v>
      </c>
      <c r="E296" s="10" t="s">
        <v>90</v>
      </c>
      <c r="F296" s="11" t="n">
        <v>2838271.69</v>
      </c>
      <c r="G296" s="11" t="n">
        <v>2723508.8</v>
      </c>
      <c r="H296" s="11" t="n">
        <v>2260904.51</v>
      </c>
      <c r="I296" s="12" t="n">
        <v>3434</v>
      </c>
    </row>
    <row r="297" customFormat="false" ht="15" hidden="false" customHeight="false" outlineLevel="0" collapsed="false">
      <c r="A297" s="10" t="s">
        <v>595</v>
      </c>
      <c r="B297" s="10" t="s">
        <v>596</v>
      </c>
      <c r="C297" s="10" t="s">
        <v>21</v>
      </c>
      <c r="D297" s="10" t="s">
        <v>13</v>
      </c>
      <c r="E297" s="10" t="s">
        <v>122</v>
      </c>
      <c r="F297" s="11" t="n">
        <v>4319177.89</v>
      </c>
      <c r="G297" s="11" t="n">
        <v>4262106.83</v>
      </c>
      <c r="H297" s="11" t="n">
        <v>2610909.66</v>
      </c>
      <c r="I297" s="12" t="n">
        <v>668</v>
      </c>
    </row>
    <row r="298" customFormat="false" ht="15" hidden="false" customHeight="false" outlineLevel="0" collapsed="false">
      <c r="A298" s="10" t="s">
        <v>597</v>
      </c>
      <c r="B298" s="10" t="s">
        <v>598</v>
      </c>
      <c r="C298" s="10" t="s">
        <v>29</v>
      </c>
      <c r="D298" s="10" t="s">
        <v>11</v>
      </c>
      <c r="E298" s="10" t="s">
        <v>104</v>
      </c>
      <c r="F298" s="11" t="n">
        <v>6498390.76</v>
      </c>
      <c r="G298" s="11" t="n">
        <v>6468694.84</v>
      </c>
      <c r="H298" s="11" t="n">
        <v>4055024.21</v>
      </c>
      <c r="I298" s="12" t="n">
        <v>7790</v>
      </c>
    </row>
    <row r="299" customFormat="false" ht="15" hidden="false" customHeight="false" outlineLevel="0" collapsed="false">
      <c r="A299" s="10" t="s">
        <v>599</v>
      </c>
      <c r="B299" s="10" t="s">
        <v>600</v>
      </c>
      <c r="C299" s="10" t="s">
        <v>21</v>
      </c>
      <c r="D299" s="10" t="s">
        <v>10</v>
      </c>
      <c r="E299" s="10" t="s">
        <v>30</v>
      </c>
      <c r="F299" s="11" t="n">
        <v>1766171.18</v>
      </c>
      <c r="G299" s="11" t="n">
        <v>1661555.09</v>
      </c>
      <c r="H299" s="11" t="n">
        <v>1318964.08</v>
      </c>
      <c r="I299" s="12" t="n">
        <v>4877</v>
      </c>
    </row>
    <row r="300" customFormat="false" ht="15" hidden="false" customHeight="false" outlineLevel="0" collapsed="false">
      <c r="A300" s="10" t="s">
        <v>601</v>
      </c>
      <c r="B300" s="10" t="s">
        <v>602</v>
      </c>
      <c r="C300" s="10" t="s">
        <v>29</v>
      </c>
      <c r="D300" s="10" t="s">
        <v>10</v>
      </c>
      <c r="E300" s="10" t="s">
        <v>33</v>
      </c>
      <c r="F300" s="11" t="n">
        <v>4648630.13</v>
      </c>
      <c r="G300" s="11" t="n">
        <v>4638000.59</v>
      </c>
      <c r="H300" s="11" t="n">
        <v>3311294.61</v>
      </c>
      <c r="I300" s="12" t="n">
        <v>7681</v>
      </c>
    </row>
    <row r="301" customFormat="false" ht="15" hidden="false" customHeight="false" outlineLevel="0" collapsed="false">
      <c r="A301" s="10" t="s">
        <v>603</v>
      </c>
      <c r="B301" s="10" t="s">
        <v>604</v>
      </c>
      <c r="C301" s="10" t="s">
        <v>21</v>
      </c>
      <c r="D301" s="10" t="s">
        <v>10</v>
      </c>
      <c r="E301" s="10" t="s">
        <v>30</v>
      </c>
      <c r="F301" s="11" t="n">
        <v>7101290.32</v>
      </c>
      <c r="G301" s="11" t="n">
        <v>6765948.49</v>
      </c>
      <c r="H301" s="11" t="n">
        <v>4734511.24</v>
      </c>
      <c r="I301" s="12" t="n">
        <v>3985</v>
      </c>
    </row>
    <row r="302" customFormat="false" ht="15" hidden="false" customHeight="false" outlineLevel="0" collapsed="false">
      <c r="A302" s="10" t="s">
        <v>605</v>
      </c>
      <c r="B302" s="10" t="s">
        <v>606</v>
      </c>
      <c r="C302" s="10" t="s">
        <v>21</v>
      </c>
      <c r="D302" s="10" t="s">
        <v>11</v>
      </c>
      <c r="E302" s="10" t="s">
        <v>39</v>
      </c>
      <c r="F302" s="11" t="n">
        <v>2928787.25</v>
      </c>
      <c r="G302" s="11" t="n">
        <v>2903875.85</v>
      </c>
      <c r="H302" s="11" t="n">
        <v>2410759.91</v>
      </c>
      <c r="I302" s="12" t="n">
        <v>7448</v>
      </c>
    </row>
    <row r="303" customFormat="false" ht="15" hidden="false" customHeight="false" outlineLevel="0" collapsed="false">
      <c r="A303" s="10" t="s">
        <v>607</v>
      </c>
      <c r="B303" s="10" t="s">
        <v>608</v>
      </c>
      <c r="C303" s="10" t="s">
        <v>21</v>
      </c>
      <c r="D303" s="10" t="s">
        <v>12</v>
      </c>
      <c r="E303" s="10" t="s">
        <v>90</v>
      </c>
      <c r="F303" s="11" t="n">
        <v>1873837.06</v>
      </c>
      <c r="G303" s="11" t="n">
        <v>1802576.41</v>
      </c>
      <c r="H303" s="11" t="n">
        <v>1538909.4</v>
      </c>
      <c r="I303" s="12" t="n">
        <v>5339</v>
      </c>
    </row>
    <row r="304" customFormat="false" ht="15" hidden="false" customHeight="false" outlineLevel="0" collapsed="false">
      <c r="A304" s="10"/>
      <c r="B304" s="10" t="s">
        <v>609</v>
      </c>
      <c r="C304" s="10" t="s">
        <v>21</v>
      </c>
      <c r="D304" s="10" t="s">
        <v>11</v>
      </c>
      <c r="E304" s="10" t="s">
        <v>71</v>
      </c>
      <c r="F304" s="11" t="n">
        <v>2078194.43</v>
      </c>
      <c r="G304" s="11" t="n">
        <v>1970646.64</v>
      </c>
      <c r="H304" s="11" t="n">
        <v>1341686.02</v>
      </c>
      <c r="I304" s="12" t="n">
        <v>7396</v>
      </c>
    </row>
    <row r="305" customFormat="false" ht="15" hidden="false" customHeight="false" outlineLevel="0" collapsed="false">
      <c r="A305" s="10" t="s">
        <v>610</v>
      </c>
      <c r="B305" s="10" t="s">
        <v>611</v>
      </c>
      <c r="C305" s="10" t="s">
        <v>21</v>
      </c>
      <c r="D305" s="10" t="s">
        <v>11</v>
      </c>
      <c r="E305" s="10" t="s">
        <v>71</v>
      </c>
      <c r="F305" s="11" t="n">
        <v>2801858.24</v>
      </c>
      <c r="G305" s="11" t="n">
        <v>2641031.92</v>
      </c>
      <c r="H305" s="11" t="n">
        <v>1763624.6</v>
      </c>
      <c r="I305" s="12" t="n">
        <v>4623</v>
      </c>
    </row>
    <row r="306" customFormat="false" ht="15" hidden="false" customHeight="false" outlineLevel="0" collapsed="false">
      <c r="A306" s="10" t="s">
        <v>612</v>
      </c>
      <c r="B306" s="10" t="s">
        <v>613</v>
      </c>
      <c r="C306" s="10" t="s">
        <v>21</v>
      </c>
      <c r="D306" s="10" t="s">
        <v>13</v>
      </c>
      <c r="E306" s="10" t="s">
        <v>265</v>
      </c>
      <c r="F306" s="11" t="n">
        <v>3748130.96</v>
      </c>
      <c r="G306" s="11" t="n">
        <v>3564852.31</v>
      </c>
      <c r="H306" s="11" t="n">
        <v>2708441.52</v>
      </c>
      <c r="I306" s="12" t="n">
        <v>2211</v>
      </c>
    </row>
    <row r="307" customFormat="false" ht="15" hidden="false" customHeight="false" outlineLevel="0" collapsed="false">
      <c r="A307" s="10" t="s">
        <v>614</v>
      </c>
      <c r="B307" s="10" t="s">
        <v>615</v>
      </c>
      <c r="C307" s="10" t="s">
        <v>29</v>
      </c>
      <c r="D307" s="10" t="s">
        <v>10</v>
      </c>
      <c r="E307" s="10" t="s">
        <v>30</v>
      </c>
      <c r="F307" s="11" t="n">
        <v>597031.86</v>
      </c>
      <c r="G307" s="11" t="n">
        <v>584098.22</v>
      </c>
      <c r="H307" s="11" t="n">
        <v>361242.51</v>
      </c>
      <c r="I307" s="12" t="n">
        <v>5831</v>
      </c>
    </row>
    <row r="308" customFormat="false" ht="15" hidden="false" customHeight="false" outlineLevel="0" collapsed="false">
      <c r="A308" s="10" t="s">
        <v>616</v>
      </c>
      <c r="B308" s="10" t="s">
        <v>617</v>
      </c>
      <c r="C308" s="10" t="s">
        <v>21</v>
      </c>
      <c r="D308" s="10" t="s">
        <v>13</v>
      </c>
      <c r="E308" s="10" t="s">
        <v>22</v>
      </c>
      <c r="F308" s="11" t="n">
        <v>5991890.4</v>
      </c>
      <c r="G308" s="11" t="n">
        <v>5752370.03</v>
      </c>
      <c r="H308" s="11" t="n">
        <v>4925921.23</v>
      </c>
      <c r="I308" s="12" t="n">
        <v>1082</v>
      </c>
    </row>
    <row r="309" customFormat="false" ht="15" hidden="false" customHeight="false" outlineLevel="0" collapsed="false">
      <c r="A309" s="10" t="s">
        <v>618</v>
      </c>
      <c r="B309" s="10" t="s">
        <v>619</v>
      </c>
      <c r="C309" s="10" t="s">
        <v>25</v>
      </c>
      <c r="D309" s="10" t="s">
        <v>10</v>
      </c>
      <c r="E309" s="10" t="s">
        <v>33</v>
      </c>
      <c r="F309" s="11" t="n">
        <v>5327068.44</v>
      </c>
      <c r="G309" s="11" t="n">
        <v>5002721.47</v>
      </c>
      <c r="H309" s="11" t="n">
        <v>3737547.02</v>
      </c>
      <c r="I309" s="12" t="n">
        <v>1859</v>
      </c>
    </row>
    <row r="310" customFormat="false" ht="15" hidden="false" customHeight="false" outlineLevel="0" collapsed="false">
      <c r="A310" s="10"/>
      <c r="B310" s="10" t="s">
        <v>620</v>
      </c>
      <c r="C310" s="10" t="s">
        <v>64</v>
      </c>
      <c r="D310" s="10" t="s">
        <v>9</v>
      </c>
      <c r="E310" s="10" t="s">
        <v>65</v>
      </c>
      <c r="F310" s="11" t="n">
        <v>4611767.51</v>
      </c>
      <c r="G310" s="11" t="n">
        <v>4363384.85</v>
      </c>
      <c r="H310" s="11" t="n">
        <v>3630643.83</v>
      </c>
      <c r="I310" s="12" t="n">
        <v>0</v>
      </c>
    </row>
    <row r="311" customFormat="false" ht="15" hidden="false" customHeight="false" outlineLevel="0" collapsed="false">
      <c r="A311" s="10" t="s">
        <v>621</v>
      </c>
      <c r="B311" s="10" t="s">
        <v>622</v>
      </c>
      <c r="C311" s="10" t="s">
        <v>25</v>
      </c>
      <c r="D311" s="10" t="s">
        <v>10</v>
      </c>
      <c r="E311" s="10" t="s">
        <v>30</v>
      </c>
      <c r="F311" s="11" t="n">
        <v>4459793.6</v>
      </c>
      <c r="G311" s="11" t="n">
        <v>4437199.32</v>
      </c>
      <c r="H311" s="11" t="n">
        <v>2927531.64</v>
      </c>
      <c r="I311" s="12" t="n">
        <v>7768</v>
      </c>
    </row>
    <row r="312" customFormat="false" ht="15" hidden="false" customHeight="false" outlineLevel="0" collapsed="false">
      <c r="A312" s="10" t="s">
        <v>623</v>
      </c>
      <c r="B312" s="10" t="s">
        <v>624</v>
      </c>
      <c r="C312" s="10" t="s">
        <v>25</v>
      </c>
      <c r="D312" s="10" t="s">
        <v>9</v>
      </c>
      <c r="E312" s="10" t="s">
        <v>130</v>
      </c>
      <c r="F312" s="11" t="n">
        <v>6064367.76</v>
      </c>
      <c r="G312" s="11" t="n">
        <v>6024433.92</v>
      </c>
      <c r="H312" s="11" t="n">
        <v>4479020.38</v>
      </c>
      <c r="I312" s="12" t="n">
        <v>8324</v>
      </c>
    </row>
    <row r="313" customFormat="false" ht="15" hidden="false" customHeight="false" outlineLevel="0" collapsed="false">
      <c r="A313" s="10"/>
      <c r="B313" s="10" t="s">
        <v>625</v>
      </c>
      <c r="C313" s="10" t="s">
        <v>64</v>
      </c>
      <c r="D313" s="10" t="s">
        <v>9</v>
      </c>
      <c r="E313" s="10" t="s">
        <v>47</v>
      </c>
      <c r="F313" s="11" t="n">
        <v>3628538.54</v>
      </c>
      <c r="G313" s="11" t="n">
        <v>3481500.37</v>
      </c>
      <c r="H313" s="11" t="n">
        <v>2898244.64</v>
      </c>
      <c r="I313" s="12" t="n">
        <v>0</v>
      </c>
    </row>
    <row r="314" customFormat="false" ht="15" hidden="false" customHeight="false" outlineLevel="0" collapsed="false">
      <c r="A314" s="10" t="s">
        <v>626</v>
      </c>
      <c r="B314" s="10" t="s">
        <v>627</v>
      </c>
      <c r="C314" s="10" t="s">
        <v>29</v>
      </c>
      <c r="D314" s="10" t="s">
        <v>9</v>
      </c>
      <c r="E314" s="10" t="s">
        <v>47</v>
      </c>
      <c r="F314" s="11" t="n">
        <v>6832070.76</v>
      </c>
      <c r="G314" s="11" t="n">
        <v>6616254.92</v>
      </c>
      <c r="H314" s="11" t="n">
        <v>5439631.65</v>
      </c>
      <c r="I314" s="12" t="n">
        <v>1475</v>
      </c>
    </row>
    <row r="315" customFormat="false" ht="15" hidden="false" customHeight="false" outlineLevel="0" collapsed="false">
      <c r="A315" s="10" t="s">
        <v>628</v>
      </c>
      <c r="B315" s="10" t="s">
        <v>629</v>
      </c>
      <c r="C315" s="10" t="s">
        <v>29</v>
      </c>
      <c r="D315" s="10" t="s">
        <v>11</v>
      </c>
      <c r="E315" s="10" t="s">
        <v>71</v>
      </c>
      <c r="F315" s="11" t="n">
        <v>2454503.17</v>
      </c>
      <c r="G315" s="11" t="n">
        <v>2412734.57</v>
      </c>
      <c r="H315" s="11" t="n">
        <v>1996386.88</v>
      </c>
      <c r="I315" s="12" t="n">
        <v>364</v>
      </c>
    </row>
    <row r="316" customFormat="false" ht="15" hidden="false" customHeight="false" outlineLevel="0" collapsed="false">
      <c r="A316" s="10" t="s">
        <v>630</v>
      </c>
      <c r="B316" s="10" t="s">
        <v>631</v>
      </c>
      <c r="C316" s="10" t="s">
        <v>21</v>
      </c>
      <c r="D316" s="10" t="s">
        <v>12</v>
      </c>
      <c r="E316" s="10" t="s">
        <v>68</v>
      </c>
      <c r="F316" s="11" t="n">
        <v>3577877.53</v>
      </c>
      <c r="G316" s="11" t="n">
        <v>3564424.1</v>
      </c>
      <c r="H316" s="11" t="n">
        <v>2407133.54</v>
      </c>
      <c r="I316" s="12" t="n">
        <v>8534</v>
      </c>
    </row>
    <row r="317" customFormat="false" ht="15" hidden="false" customHeight="false" outlineLevel="0" collapsed="false">
      <c r="A317" s="10" t="s">
        <v>632</v>
      </c>
      <c r="B317" s="10" t="s">
        <v>633</v>
      </c>
      <c r="C317" s="10" t="s">
        <v>25</v>
      </c>
      <c r="D317" s="10" t="s">
        <v>11</v>
      </c>
      <c r="E317" s="10" t="s">
        <v>165</v>
      </c>
      <c r="F317" s="11" t="n">
        <v>864878.25</v>
      </c>
      <c r="G317" s="11" t="n">
        <v>862885.01</v>
      </c>
      <c r="H317" s="11" t="n">
        <v>613691.23</v>
      </c>
      <c r="I317" s="12" t="n">
        <v>5976</v>
      </c>
    </row>
    <row r="318" customFormat="false" ht="15" hidden="false" customHeight="false" outlineLevel="0" collapsed="false">
      <c r="A318" s="10" t="s">
        <v>634</v>
      </c>
      <c r="B318" s="10" t="s">
        <v>635</v>
      </c>
      <c r="C318" s="10" t="s">
        <v>21</v>
      </c>
      <c r="D318" s="10" t="s">
        <v>9</v>
      </c>
      <c r="E318" s="10" t="s">
        <v>65</v>
      </c>
      <c r="F318" s="11" t="n">
        <v>5969547.89</v>
      </c>
      <c r="G318" s="11" t="n">
        <v>5698837.79</v>
      </c>
      <c r="H318" s="11" t="n">
        <v>3734354.93</v>
      </c>
      <c r="I318" s="12" t="n">
        <v>6486</v>
      </c>
    </row>
    <row r="319" customFormat="false" ht="15" hidden="false" customHeight="false" outlineLevel="0" collapsed="false">
      <c r="A319" s="10" t="s">
        <v>636</v>
      </c>
      <c r="B319" s="10" t="s">
        <v>637</v>
      </c>
      <c r="C319" s="10" t="s">
        <v>25</v>
      </c>
      <c r="D319" s="10" t="s">
        <v>12</v>
      </c>
      <c r="E319" s="10" t="s">
        <v>174</v>
      </c>
      <c r="F319" s="11" t="n">
        <v>2384873.05</v>
      </c>
      <c r="G319" s="11" t="n">
        <v>2235463.59</v>
      </c>
      <c r="H319" s="11" t="n">
        <v>1890079.1</v>
      </c>
      <c r="I319" s="12" t="n">
        <v>535</v>
      </c>
    </row>
    <row r="320" customFormat="false" ht="15" hidden="false" customHeight="false" outlineLevel="0" collapsed="false">
      <c r="A320" s="10" t="s">
        <v>638</v>
      </c>
      <c r="B320" s="10" t="s">
        <v>639</v>
      </c>
      <c r="C320" s="10" t="s">
        <v>25</v>
      </c>
      <c r="D320" s="10" t="s">
        <v>10</v>
      </c>
      <c r="E320" s="10" t="s">
        <v>30</v>
      </c>
      <c r="F320" s="11" t="n">
        <v>6115620.07</v>
      </c>
      <c r="G320" s="11" t="n">
        <v>6107786.7</v>
      </c>
      <c r="H320" s="11" t="n">
        <v>4126621.88</v>
      </c>
      <c r="I320" s="12" t="n">
        <v>6756</v>
      </c>
    </row>
    <row r="321" customFormat="false" ht="15" hidden="false" customHeight="false" outlineLevel="0" collapsed="false">
      <c r="A321" s="10" t="s">
        <v>640</v>
      </c>
      <c r="B321" s="10" t="s">
        <v>641</v>
      </c>
      <c r="C321" s="10" t="s">
        <v>21</v>
      </c>
      <c r="D321" s="10" t="s">
        <v>10</v>
      </c>
      <c r="E321" s="10" t="s">
        <v>30</v>
      </c>
      <c r="F321" s="11" t="n">
        <v>5752903.11</v>
      </c>
      <c r="G321" s="11" t="n">
        <v>5433229.46</v>
      </c>
      <c r="H321" s="11" t="n">
        <v>4922812.92</v>
      </c>
      <c r="I321" s="12" t="n">
        <v>880</v>
      </c>
    </row>
    <row r="322" customFormat="false" ht="15" hidden="false" customHeight="false" outlineLevel="0" collapsed="false">
      <c r="A322" s="10" t="s">
        <v>642</v>
      </c>
      <c r="B322" s="10" t="s">
        <v>643</v>
      </c>
      <c r="C322" s="10" t="s">
        <v>29</v>
      </c>
      <c r="D322" s="10" t="s">
        <v>9</v>
      </c>
      <c r="E322" s="10" t="s">
        <v>47</v>
      </c>
      <c r="F322" s="11" t="n">
        <v>5276230.64</v>
      </c>
      <c r="G322" s="11" t="n">
        <v>5231168.96</v>
      </c>
      <c r="H322" s="11" t="n">
        <v>4210278.16</v>
      </c>
      <c r="I322" s="12" t="n">
        <v>7595</v>
      </c>
    </row>
    <row r="323" customFormat="false" ht="15" hidden="false" customHeight="false" outlineLevel="0" collapsed="false">
      <c r="A323" s="10" t="s">
        <v>644</v>
      </c>
      <c r="B323" s="10" t="s">
        <v>645</v>
      </c>
      <c r="C323" s="10" t="s">
        <v>21</v>
      </c>
      <c r="D323" s="10" t="s">
        <v>12</v>
      </c>
      <c r="E323" s="10" t="s">
        <v>90</v>
      </c>
      <c r="F323" s="11" t="n">
        <v>5352094.31</v>
      </c>
      <c r="G323" s="11" t="n">
        <v>5124059.77</v>
      </c>
      <c r="H323" s="11" t="n">
        <v>3226027.29</v>
      </c>
      <c r="I323" s="12" t="n">
        <v>3542</v>
      </c>
    </row>
    <row r="324" customFormat="false" ht="15" hidden="false" customHeight="false" outlineLevel="0" collapsed="false">
      <c r="A324" s="10" t="s">
        <v>646</v>
      </c>
      <c r="B324" s="10" t="s">
        <v>647</v>
      </c>
      <c r="C324" s="10" t="s">
        <v>21</v>
      </c>
      <c r="D324" s="10" t="s">
        <v>11</v>
      </c>
      <c r="E324" s="10" t="s">
        <v>58</v>
      </c>
      <c r="F324" s="11" t="n">
        <v>4800098.5</v>
      </c>
      <c r="G324" s="11" t="n">
        <v>4616641.04</v>
      </c>
      <c r="H324" s="11" t="n">
        <v>3752127.42</v>
      </c>
      <c r="I324" s="12" t="n">
        <v>2215</v>
      </c>
    </row>
    <row r="325" customFormat="false" ht="15" hidden="false" customHeight="false" outlineLevel="0" collapsed="false">
      <c r="A325" s="10" t="s">
        <v>648</v>
      </c>
      <c r="B325" s="10" t="s">
        <v>649</v>
      </c>
      <c r="C325" s="10" t="s">
        <v>21</v>
      </c>
      <c r="D325" s="10" t="s">
        <v>9</v>
      </c>
      <c r="E325" s="10" t="s">
        <v>130</v>
      </c>
      <c r="F325" s="11" t="n">
        <v>3088889.39</v>
      </c>
      <c r="G325" s="11" t="n">
        <v>2990933.05</v>
      </c>
      <c r="H325" s="11" t="n">
        <v>2226042.2</v>
      </c>
      <c r="I325" s="12" t="n">
        <v>2351</v>
      </c>
    </row>
    <row r="326" customFormat="false" ht="15" hidden="false" customHeight="false" outlineLevel="0" collapsed="false">
      <c r="A326" s="10" t="s">
        <v>650</v>
      </c>
      <c r="B326" s="10" t="s">
        <v>651</v>
      </c>
      <c r="C326" s="10" t="s">
        <v>21</v>
      </c>
      <c r="D326" s="10" t="s">
        <v>10</v>
      </c>
      <c r="E326" s="10" t="s">
        <v>33</v>
      </c>
      <c r="F326" s="11" t="n">
        <v>4179632.2</v>
      </c>
      <c r="G326" s="11" t="n">
        <v>3980056.24</v>
      </c>
      <c r="H326" s="11" t="n">
        <v>3046453.55</v>
      </c>
      <c r="I326" s="12" t="n">
        <v>3019</v>
      </c>
    </row>
    <row r="327" customFormat="false" ht="15" hidden="false" customHeight="false" outlineLevel="0" collapsed="false">
      <c r="A327" s="10" t="s">
        <v>652</v>
      </c>
      <c r="B327" s="10" t="s">
        <v>653</v>
      </c>
      <c r="C327" s="10" t="s">
        <v>25</v>
      </c>
      <c r="D327" s="10" t="s">
        <v>11</v>
      </c>
      <c r="E327" s="10" t="s">
        <v>71</v>
      </c>
      <c r="F327" s="11" t="n">
        <v>3685553.25</v>
      </c>
      <c r="G327" s="11" t="n">
        <v>3674887.72</v>
      </c>
      <c r="H327" s="11" t="n">
        <v>3151606.78</v>
      </c>
      <c r="I327" s="12" t="n">
        <v>3264</v>
      </c>
    </row>
    <row r="328" customFormat="false" ht="15" hidden="false" customHeight="false" outlineLevel="0" collapsed="false">
      <c r="A328" s="10" t="s">
        <v>654</v>
      </c>
      <c r="B328" s="10" t="s">
        <v>655</v>
      </c>
      <c r="C328" s="10" t="s">
        <v>21</v>
      </c>
      <c r="D328" s="10" t="s">
        <v>11</v>
      </c>
      <c r="E328" s="10" t="s">
        <v>71</v>
      </c>
      <c r="F328" s="11" t="n">
        <v>6440124.65</v>
      </c>
      <c r="G328" s="11" t="n">
        <v>6213635.18</v>
      </c>
      <c r="H328" s="11" t="n">
        <v>4775078.32</v>
      </c>
      <c r="I328" s="12" t="n">
        <v>7913</v>
      </c>
    </row>
    <row r="329" customFormat="false" ht="15" hidden="false" customHeight="false" outlineLevel="0" collapsed="false">
      <c r="A329" s="10" t="s">
        <v>656</v>
      </c>
      <c r="B329" s="10" t="s">
        <v>657</v>
      </c>
      <c r="C329" s="10" t="s">
        <v>21</v>
      </c>
      <c r="D329" s="10" t="s">
        <v>9</v>
      </c>
      <c r="E329" s="10" t="s">
        <v>154</v>
      </c>
      <c r="F329" s="11" t="n">
        <v>3725072.54</v>
      </c>
      <c r="G329" s="11" t="n">
        <v>3580616.79</v>
      </c>
      <c r="H329" s="11" t="n">
        <v>2835642.49</v>
      </c>
      <c r="I329" s="12" t="n">
        <v>846</v>
      </c>
    </row>
    <row r="330" customFormat="false" ht="15" hidden="false" customHeight="false" outlineLevel="0" collapsed="false">
      <c r="A330" s="10" t="s">
        <v>658</v>
      </c>
      <c r="B330" s="10" t="s">
        <v>659</v>
      </c>
      <c r="C330" s="10" t="s">
        <v>21</v>
      </c>
      <c r="D330" s="10" t="s">
        <v>11</v>
      </c>
      <c r="E330" s="10" t="s">
        <v>71</v>
      </c>
      <c r="F330" s="11" t="n">
        <v>4628563.75</v>
      </c>
      <c r="G330" s="11" t="n">
        <v>4370595.75</v>
      </c>
      <c r="H330" s="11" t="n">
        <v>3646469.36</v>
      </c>
      <c r="I330" s="12" t="n">
        <v>8251</v>
      </c>
    </row>
    <row r="331" customFormat="false" ht="15" hidden="false" customHeight="false" outlineLevel="0" collapsed="false">
      <c r="A331" s="10" t="s">
        <v>660</v>
      </c>
      <c r="B331" s="10" t="s">
        <v>661</v>
      </c>
      <c r="C331" s="10" t="s">
        <v>21</v>
      </c>
      <c r="D331" s="10" t="s">
        <v>9</v>
      </c>
      <c r="E331" s="10" t="s">
        <v>220</v>
      </c>
      <c r="F331" s="11" t="n">
        <v>1312552.93</v>
      </c>
      <c r="G331" s="11" t="n">
        <v>1288888.93</v>
      </c>
      <c r="H331" s="11" t="n">
        <v>985206.75</v>
      </c>
      <c r="I331" s="12" t="n">
        <v>4107</v>
      </c>
    </row>
    <row r="332" customFormat="false" ht="15" hidden="false" customHeight="false" outlineLevel="0" collapsed="false">
      <c r="A332" s="10"/>
      <c r="B332" s="10" t="s">
        <v>662</v>
      </c>
      <c r="C332" s="10" t="s">
        <v>64</v>
      </c>
      <c r="D332" s="10" t="s">
        <v>13</v>
      </c>
      <c r="E332" s="10" t="s">
        <v>44</v>
      </c>
      <c r="F332" s="11" t="n">
        <v>5429858.76</v>
      </c>
      <c r="G332" s="11" t="n">
        <v>5298943.29</v>
      </c>
      <c r="H332" s="11" t="n">
        <v>3744412.47</v>
      </c>
      <c r="I332" s="12" t="n">
        <v>0</v>
      </c>
    </row>
    <row r="333" customFormat="false" ht="15" hidden="false" customHeight="false" outlineLevel="0" collapsed="false">
      <c r="A333" s="10"/>
      <c r="B333" s="10" t="s">
        <v>663</v>
      </c>
      <c r="C333" s="10" t="s">
        <v>64</v>
      </c>
      <c r="D333" s="10" t="s">
        <v>9</v>
      </c>
      <c r="E333" s="10" t="s">
        <v>130</v>
      </c>
      <c r="F333" s="11" t="n">
        <v>7341038.92</v>
      </c>
      <c r="G333" s="11" t="n">
        <v>6845360.24</v>
      </c>
      <c r="H333" s="11" t="n">
        <v>4559446.19</v>
      </c>
      <c r="I333" s="12" t="n">
        <v>0</v>
      </c>
    </row>
    <row r="334" customFormat="false" ht="15" hidden="false" customHeight="false" outlineLevel="0" collapsed="false">
      <c r="A334" s="10" t="s">
        <v>664</v>
      </c>
      <c r="B334" s="10" t="s">
        <v>665</v>
      </c>
      <c r="C334" s="10" t="s">
        <v>21</v>
      </c>
      <c r="D334" s="10" t="s">
        <v>13</v>
      </c>
      <c r="E334" s="10" t="s">
        <v>143</v>
      </c>
      <c r="F334" s="11" t="n">
        <v>7410097.68</v>
      </c>
      <c r="G334" s="11" t="n">
        <v>7263406.12</v>
      </c>
      <c r="H334" s="11" t="n">
        <v>6176564.56</v>
      </c>
      <c r="I334" s="12" t="n">
        <v>8984</v>
      </c>
    </row>
    <row r="335" customFormat="false" ht="15" hidden="false" customHeight="false" outlineLevel="0" collapsed="false">
      <c r="A335" s="10" t="s">
        <v>666</v>
      </c>
      <c r="B335" s="10" t="s">
        <v>667</v>
      </c>
      <c r="C335" s="10" t="s">
        <v>29</v>
      </c>
      <c r="D335" s="10" t="s">
        <v>12</v>
      </c>
      <c r="E335" s="10" t="s">
        <v>90</v>
      </c>
      <c r="F335" s="11" t="n">
        <v>3942617.89</v>
      </c>
      <c r="G335" s="11" t="n">
        <v>3760224.33</v>
      </c>
      <c r="H335" s="11" t="n">
        <v>2767723.88</v>
      </c>
      <c r="I335" s="12" t="n">
        <v>6084</v>
      </c>
    </row>
    <row r="336" customFormat="false" ht="15" hidden="false" customHeight="false" outlineLevel="0" collapsed="false">
      <c r="A336" s="10" t="s">
        <v>668</v>
      </c>
      <c r="B336" s="10" t="s">
        <v>669</v>
      </c>
      <c r="C336" s="10" t="s">
        <v>21</v>
      </c>
      <c r="D336" s="10" t="s">
        <v>10</v>
      </c>
      <c r="E336" s="10" t="s">
        <v>30</v>
      </c>
      <c r="F336" s="11" t="n">
        <v>3047839.84</v>
      </c>
      <c r="G336" s="11" t="n">
        <v>2997371.73</v>
      </c>
      <c r="H336" s="11" t="n">
        <v>1930238.82</v>
      </c>
      <c r="I336" s="12" t="n">
        <v>7555</v>
      </c>
    </row>
    <row r="337" customFormat="false" ht="15" hidden="false" customHeight="false" outlineLevel="0" collapsed="false">
      <c r="A337" s="10" t="s">
        <v>670</v>
      </c>
      <c r="B337" s="10" t="s">
        <v>671</v>
      </c>
      <c r="C337" s="10" t="s">
        <v>21</v>
      </c>
      <c r="D337" s="10" t="s">
        <v>11</v>
      </c>
      <c r="E337" s="10" t="s">
        <v>58</v>
      </c>
      <c r="F337" s="11" t="n">
        <v>4011086.25</v>
      </c>
      <c r="G337" s="11" t="n">
        <v>3795175.84</v>
      </c>
      <c r="H337" s="11" t="n">
        <v>2780929.39</v>
      </c>
      <c r="I337" s="12" t="n">
        <v>1690</v>
      </c>
    </row>
    <row r="338" customFormat="false" ht="15" hidden="false" customHeight="false" outlineLevel="0" collapsed="false">
      <c r="A338" s="10" t="s">
        <v>672</v>
      </c>
      <c r="B338" s="10" t="s">
        <v>673</v>
      </c>
      <c r="C338" s="10" t="s">
        <v>29</v>
      </c>
      <c r="D338" s="10" t="s">
        <v>11</v>
      </c>
      <c r="E338" s="10" t="s">
        <v>58</v>
      </c>
      <c r="F338" s="11" t="n">
        <v>7134831.61</v>
      </c>
      <c r="G338" s="11" t="n">
        <v>6842798.88</v>
      </c>
      <c r="H338" s="11" t="n">
        <v>5132994.86</v>
      </c>
      <c r="I338" s="12" t="n">
        <v>3151</v>
      </c>
    </row>
    <row r="339" customFormat="false" ht="15" hidden="false" customHeight="false" outlineLevel="0" collapsed="false">
      <c r="A339" s="10" t="s">
        <v>674</v>
      </c>
      <c r="B339" s="10" t="s">
        <v>675</v>
      </c>
      <c r="C339" s="10" t="s">
        <v>21</v>
      </c>
      <c r="D339" s="10" t="s">
        <v>12</v>
      </c>
      <c r="E339" s="10" t="s">
        <v>174</v>
      </c>
      <c r="F339" s="11" t="n">
        <v>2777317.61</v>
      </c>
      <c r="G339" s="11" t="n">
        <v>2688659.66</v>
      </c>
      <c r="H339" s="11" t="n">
        <v>1716329.72</v>
      </c>
      <c r="I339" s="12" t="n">
        <v>2344</v>
      </c>
    </row>
    <row r="340" customFormat="false" ht="15" hidden="false" customHeight="false" outlineLevel="0" collapsed="false">
      <c r="A340" s="10" t="s">
        <v>676</v>
      </c>
      <c r="B340" s="10" t="s">
        <v>677</v>
      </c>
      <c r="C340" s="10" t="s">
        <v>25</v>
      </c>
      <c r="D340" s="10" t="s">
        <v>10</v>
      </c>
      <c r="E340" s="10" t="s">
        <v>33</v>
      </c>
      <c r="F340" s="11" t="n">
        <v>4362127.87</v>
      </c>
      <c r="G340" s="11" t="n">
        <v>4174249.65</v>
      </c>
      <c r="H340" s="11" t="n">
        <v>2943791.12</v>
      </c>
      <c r="I340" s="12" t="n">
        <v>621</v>
      </c>
    </row>
    <row r="341" customFormat="false" ht="15" hidden="false" customHeight="false" outlineLevel="0" collapsed="false">
      <c r="A341" s="10" t="s">
        <v>678</v>
      </c>
      <c r="B341" s="10" t="s">
        <v>679</v>
      </c>
      <c r="C341" s="10" t="s">
        <v>21</v>
      </c>
      <c r="D341" s="10" t="s">
        <v>12</v>
      </c>
      <c r="E341" s="10" t="s">
        <v>99</v>
      </c>
      <c r="F341" s="11" t="n">
        <v>1128238.33</v>
      </c>
      <c r="G341" s="11" t="n">
        <v>1110646.56</v>
      </c>
      <c r="H341" s="11" t="n">
        <v>696025.32</v>
      </c>
      <c r="I341" s="12" t="n">
        <v>6086</v>
      </c>
    </row>
    <row r="342" customFormat="false" ht="15" hidden="false" customHeight="false" outlineLevel="0" collapsed="false">
      <c r="A342" s="10" t="s">
        <v>680</v>
      </c>
      <c r="B342" s="10" t="s">
        <v>681</v>
      </c>
      <c r="C342" s="10" t="s">
        <v>21</v>
      </c>
      <c r="D342" s="10" t="s">
        <v>12</v>
      </c>
      <c r="E342" s="10" t="s">
        <v>36</v>
      </c>
      <c r="F342" s="11" t="n">
        <v>6266925.18</v>
      </c>
      <c r="G342" s="11" t="n">
        <v>6091936.33</v>
      </c>
      <c r="H342" s="11" t="n">
        <v>5051594.39</v>
      </c>
      <c r="I342" s="12" t="n">
        <v>1103</v>
      </c>
    </row>
    <row r="343" customFormat="false" ht="15" hidden="false" customHeight="false" outlineLevel="0" collapsed="false">
      <c r="A343" s="10" t="s">
        <v>682</v>
      </c>
      <c r="B343" s="10" t="s">
        <v>683</v>
      </c>
      <c r="C343" s="10" t="s">
        <v>21</v>
      </c>
      <c r="D343" s="10" t="s">
        <v>13</v>
      </c>
      <c r="E343" s="10" t="s">
        <v>22</v>
      </c>
      <c r="F343" s="11" t="n">
        <v>3259486.52</v>
      </c>
      <c r="G343" s="11" t="n">
        <v>3182505.21</v>
      </c>
      <c r="H343" s="11" t="n">
        <v>1962786.89</v>
      </c>
      <c r="I343" s="12" t="n">
        <v>5959</v>
      </c>
    </row>
    <row r="344" customFormat="false" ht="15" hidden="false" customHeight="false" outlineLevel="0" collapsed="false">
      <c r="A344" s="10" t="s">
        <v>684</v>
      </c>
      <c r="B344" s="10" t="s">
        <v>685</v>
      </c>
      <c r="C344" s="10" t="s">
        <v>21</v>
      </c>
      <c r="D344" s="10" t="s">
        <v>10</v>
      </c>
      <c r="E344" s="10" t="s">
        <v>30</v>
      </c>
      <c r="F344" s="11" t="n">
        <v>1824129.63</v>
      </c>
      <c r="G344" s="11" t="n">
        <v>1802561.47</v>
      </c>
      <c r="H344" s="11" t="n">
        <v>1117101.54</v>
      </c>
      <c r="I344" s="12" t="n">
        <v>1782</v>
      </c>
    </row>
    <row r="345" customFormat="false" ht="15" hidden="false" customHeight="false" outlineLevel="0" collapsed="false">
      <c r="A345" s="10" t="s">
        <v>686</v>
      </c>
      <c r="B345" s="10" t="s">
        <v>687</v>
      </c>
      <c r="C345" s="10" t="s">
        <v>25</v>
      </c>
      <c r="D345" s="10" t="s">
        <v>9</v>
      </c>
      <c r="E345" s="10" t="s">
        <v>65</v>
      </c>
      <c r="F345" s="11" t="n">
        <v>2905957.7</v>
      </c>
      <c r="G345" s="11" t="n">
        <v>2752756.18</v>
      </c>
      <c r="H345" s="11" t="n">
        <v>2334717.96</v>
      </c>
      <c r="I345" s="12" t="n">
        <v>6090</v>
      </c>
    </row>
    <row r="346" customFormat="false" ht="15" hidden="false" customHeight="false" outlineLevel="0" collapsed="false">
      <c r="A346" s="10" t="s">
        <v>688</v>
      </c>
      <c r="B346" s="10" t="s">
        <v>689</v>
      </c>
      <c r="C346" s="10" t="s">
        <v>21</v>
      </c>
      <c r="D346" s="10" t="s">
        <v>9</v>
      </c>
      <c r="E346" s="10" t="s">
        <v>220</v>
      </c>
      <c r="F346" s="11" t="n">
        <v>6664407.87</v>
      </c>
      <c r="G346" s="11" t="n">
        <v>6242849.44</v>
      </c>
      <c r="H346" s="11" t="n">
        <v>5001899.27</v>
      </c>
      <c r="I346" s="12" t="n">
        <v>8826</v>
      </c>
    </row>
    <row r="347" customFormat="false" ht="15" hidden="false" customHeight="false" outlineLevel="0" collapsed="false">
      <c r="A347" s="10" t="s">
        <v>690</v>
      </c>
      <c r="B347" s="10" t="s">
        <v>691</v>
      </c>
      <c r="C347" s="10" t="s">
        <v>29</v>
      </c>
      <c r="D347" s="10" t="s">
        <v>13</v>
      </c>
      <c r="E347" s="10" t="s">
        <v>122</v>
      </c>
      <c r="F347" s="11" t="n">
        <v>6546376.15</v>
      </c>
      <c r="G347" s="11" t="n">
        <v>6382136.88</v>
      </c>
      <c r="H347" s="11" t="n">
        <v>5156275.54</v>
      </c>
      <c r="I347" s="12" t="n">
        <v>5485</v>
      </c>
    </row>
    <row r="348" customFormat="false" ht="15" hidden="false" customHeight="false" outlineLevel="0" collapsed="false">
      <c r="A348" s="10" t="s">
        <v>692</v>
      </c>
      <c r="B348" s="10" t="s">
        <v>693</v>
      </c>
      <c r="C348" s="10" t="s">
        <v>25</v>
      </c>
      <c r="D348" s="10" t="s">
        <v>13</v>
      </c>
      <c r="E348" s="10" t="s">
        <v>22</v>
      </c>
      <c r="F348" s="11" t="n">
        <v>2923862.6</v>
      </c>
      <c r="G348" s="11" t="n">
        <v>2876933.63</v>
      </c>
      <c r="H348" s="11" t="n">
        <v>2069837.19</v>
      </c>
      <c r="I348" s="12" t="n">
        <v>7536</v>
      </c>
    </row>
    <row r="349" customFormat="false" ht="15" hidden="false" customHeight="false" outlineLevel="0" collapsed="false">
      <c r="A349" s="10" t="s">
        <v>694</v>
      </c>
      <c r="B349" s="10" t="s">
        <v>695</v>
      </c>
      <c r="C349" s="10" t="s">
        <v>29</v>
      </c>
      <c r="D349" s="10" t="s">
        <v>10</v>
      </c>
      <c r="E349" s="10" t="s">
        <v>30</v>
      </c>
      <c r="F349" s="11" t="n">
        <v>1273510.13</v>
      </c>
      <c r="G349" s="11" t="n">
        <v>1265047.91</v>
      </c>
      <c r="H349" s="11" t="n">
        <v>1044059.67</v>
      </c>
      <c r="I349" s="12" t="n">
        <v>3809</v>
      </c>
    </row>
    <row r="350" customFormat="false" ht="15" hidden="false" customHeight="false" outlineLevel="0" collapsed="false">
      <c r="A350" s="10" t="s">
        <v>696</v>
      </c>
      <c r="B350" s="10" t="s">
        <v>697</v>
      </c>
      <c r="C350" s="10" t="s">
        <v>29</v>
      </c>
      <c r="D350" s="10" t="s">
        <v>11</v>
      </c>
      <c r="E350" s="10" t="s">
        <v>58</v>
      </c>
      <c r="F350" s="11" t="n">
        <v>3412841.5</v>
      </c>
      <c r="G350" s="11" t="n">
        <v>3261821.02</v>
      </c>
      <c r="H350" s="11" t="n">
        <v>2177049.26</v>
      </c>
      <c r="I350" s="12" t="n">
        <v>3918</v>
      </c>
    </row>
    <row r="351" customFormat="false" ht="15" hidden="false" customHeight="false" outlineLevel="0" collapsed="false">
      <c r="A351" s="10" t="s">
        <v>698</v>
      </c>
      <c r="B351" s="10" t="s">
        <v>699</v>
      </c>
      <c r="C351" s="10" t="s">
        <v>25</v>
      </c>
      <c r="D351" s="10" t="s">
        <v>9</v>
      </c>
      <c r="E351" s="10" t="s">
        <v>65</v>
      </c>
      <c r="F351" s="11" t="n">
        <v>7330069.77</v>
      </c>
      <c r="G351" s="11" t="n">
        <v>6954921.61</v>
      </c>
      <c r="H351" s="11" t="n">
        <v>4444542.89</v>
      </c>
      <c r="I351" s="12" t="n">
        <v>2326</v>
      </c>
    </row>
    <row r="352" customFormat="false" ht="15" hidden="false" customHeight="false" outlineLevel="0" collapsed="false">
      <c r="A352" s="10" t="s">
        <v>700</v>
      </c>
      <c r="B352" s="10" t="s">
        <v>701</v>
      </c>
      <c r="C352" s="10" t="s">
        <v>29</v>
      </c>
      <c r="D352" s="10" t="s">
        <v>12</v>
      </c>
      <c r="E352" s="10" t="s">
        <v>68</v>
      </c>
      <c r="F352" s="11" t="n">
        <v>1683162.46</v>
      </c>
      <c r="G352" s="11" t="n">
        <v>1678416.17</v>
      </c>
      <c r="H352" s="11" t="n">
        <v>1445154.94</v>
      </c>
      <c r="I352" s="12" t="n">
        <v>8728</v>
      </c>
    </row>
    <row r="353" customFormat="false" ht="15" hidden="false" customHeight="false" outlineLevel="0" collapsed="false">
      <c r="A353" s="10" t="s">
        <v>702</v>
      </c>
      <c r="B353" s="10" t="s">
        <v>703</v>
      </c>
      <c r="C353" s="10" t="s">
        <v>21</v>
      </c>
      <c r="D353" s="10" t="s">
        <v>9</v>
      </c>
      <c r="E353" s="10" t="s">
        <v>52</v>
      </c>
      <c r="F353" s="11" t="n">
        <v>3756857.51</v>
      </c>
      <c r="G353" s="11" t="n">
        <v>3540097.12</v>
      </c>
      <c r="H353" s="11" t="n">
        <v>2557581.49</v>
      </c>
      <c r="I353" s="12" t="n">
        <v>5178</v>
      </c>
    </row>
    <row r="354" customFormat="false" ht="15" hidden="false" customHeight="false" outlineLevel="0" collapsed="false">
      <c r="A354" s="10"/>
      <c r="B354" s="10" t="s">
        <v>704</v>
      </c>
      <c r="C354" s="10" t="s">
        <v>21</v>
      </c>
      <c r="D354" s="10" t="s">
        <v>11</v>
      </c>
      <c r="E354" s="10" t="s">
        <v>104</v>
      </c>
      <c r="F354" s="11" t="n">
        <v>6499776.02</v>
      </c>
      <c r="G354" s="11" t="n">
        <v>6218660.39</v>
      </c>
      <c r="H354" s="11" t="n">
        <v>4526645.06</v>
      </c>
      <c r="I354" s="12" t="n">
        <v>3786</v>
      </c>
    </row>
    <row r="355" customFormat="false" ht="15" hidden="false" customHeight="false" outlineLevel="0" collapsed="false">
      <c r="A355" s="10" t="s">
        <v>705</v>
      </c>
      <c r="B355" s="10" t="s">
        <v>706</v>
      </c>
      <c r="C355" s="10" t="s">
        <v>25</v>
      </c>
      <c r="D355" s="10" t="s">
        <v>11</v>
      </c>
      <c r="E355" s="10" t="s">
        <v>39</v>
      </c>
      <c r="F355" s="11" t="n">
        <v>6509899.94</v>
      </c>
      <c r="G355" s="11" t="n">
        <v>6392213.21</v>
      </c>
      <c r="H355" s="11" t="n">
        <v>5335904.87</v>
      </c>
      <c r="I355" s="12" t="n">
        <v>5602</v>
      </c>
    </row>
    <row r="356" customFormat="false" ht="15" hidden="false" customHeight="false" outlineLevel="0" collapsed="false">
      <c r="A356" s="10" t="s">
        <v>707</v>
      </c>
      <c r="B356" s="10" t="s">
        <v>708</v>
      </c>
      <c r="C356" s="10" t="s">
        <v>21</v>
      </c>
      <c r="D356" s="10" t="s">
        <v>13</v>
      </c>
      <c r="E356" s="10" t="s">
        <v>143</v>
      </c>
      <c r="F356" s="11" t="n">
        <v>5306668.54</v>
      </c>
      <c r="G356" s="11" t="n">
        <v>5152001.34</v>
      </c>
      <c r="H356" s="11" t="n">
        <v>4020907.16</v>
      </c>
      <c r="I356" s="12" t="n">
        <v>2143</v>
      </c>
    </row>
    <row r="357" customFormat="false" ht="15" hidden="false" customHeight="false" outlineLevel="0" collapsed="false">
      <c r="A357" s="10" t="s">
        <v>709</v>
      </c>
      <c r="B357" s="10" t="s">
        <v>710</v>
      </c>
      <c r="C357" s="10" t="s">
        <v>21</v>
      </c>
      <c r="D357" s="10" t="s">
        <v>11</v>
      </c>
      <c r="E357" s="10" t="s">
        <v>104</v>
      </c>
      <c r="F357" s="11" t="n">
        <v>5536263.36</v>
      </c>
      <c r="G357" s="11" t="n">
        <v>5348716.67</v>
      </c>
      <c r="H357" s="11" t="n">
        <v>4732574.77</v>
      </c>
      <c r="I357" s="12" t="n">
        <v>5133</v>
      </c>
    </row>
    <row r="358" customFormat="false" ht="15" hidden="false" customHeight="false" outlineLevel="0" collapsed="false">
      <c r="A358" s="10" t="s">
        <v>711</v>
      </c>
      <c r="B358" s="10" t="s">
        <v>712</v>
      </c>
      <c r="C358" s="10" t="s">
        <v>25</v>
      </c>
      <c r="D358" s="10" t="s">
        <v>12</v>
      </c>
      <c r="E358" s="10" t="s">
        <v>36</v>
      </c>
      <c r="F358" s="11" t="n">
        <v>4895623.25</v>
      </c>
      <c r="G358" s="11" t="n">
        <v>4697242.19</v>
      </c>
      <c r="H358" s="11" t="n">
        <v>3245971.07</v>
      </c>
      <c r="I358" s="12" t="n">
        <v>2301</v>
      </c>
    </row>
    <row r="359" customFormat="false" ht="15" hidden="false" customHeight="false" outlineLevel="0" collapsed="false">
      <c r="A359" s="10" t="s">
        <v>713</v>
      </c>
      <c r="B359" s="10" t="s">
        <v>714</v>
      </c>
      <c r="C359" s="10" t="s">
        <v>21</v>
      </c>
      <c r="D359" s="10" t="s">
        <v>10</v>
      </c>
      <c r="E359" s="10" t="s">
        <v>33</v>
      </c>
      <c r="F359" s="11" t="n">
        <v>3975791.21</v>
      </c>
      <c r="G359" s="11" t="n">
        <v>3874470.82</v>
      </c>
      <c r="H359" s="11" t="n">
        <v>3362625.17</v>
      </c>
      <c r="I359" s="12" t="n">
        <v>2635</v>
      </c>
    </row>
    <row r="360" customFormat="false" ht="15" hidden="false" customHeight="false" outlineLevel="0" collapsed="false">
      <c r="A360" s="10" t="s">
        <v>715</v>
      </c>
      <c r="B360" s="10" t="s">
        <v>716</v>
      </c>
      <c r="C360" s="10" t="s">
        <v>25</v>
      </c>
      <c r="D360" s="10" t="s">
        <v>11</v>
      </c>
      <c r="E360" s="10" t="s">
        <v>39</v>
      </c>
      <c r="F360" s="11" t="n">
        <v>5337556.2</v>
      </c>
      <c r="G360" s="11" t="n">
        <v>5048580.63</v>
      </c>
      <c r="H360" s="11" t="n">
        <v>3965596.14</v>
      </c>
      <c r="I360" s="12" t="n">
        <v>8641</v>
      </c>
    </row>
    <row r="361" customFormat="false" ht="15" hidden="false" customHeight="false" outlineLevel="0" collapsed="false">
      <c r="A361" s="10" t="s">
        <v>717</v>
      </c>
      <c r="B361" s="10" t="s">
        <v>718</v>
      </c>
      <c r="C361" s="10" t="s">
        <v>25</v>
      </c>
      <c r="D361" s="10" t="s">
        <v>10</v>
      </c>
      <c r="E361" s="10" t="s">
        <v>30</v>
      </c>
      <c r="F361" s="11" t="n">
        <v>6144471.78</v>
      </c>
      <c r="G361" s="11" t="n">
        <v>6039248.32</v>
      </c>
      <c r="H361" s="11" t="n">
        <v>4609995.48</v>
      </c>
      <c r="I361" s="12" t="n">
        <v>5592</v>
      </c>
    </row>
    <row r="362" customFormat="false" ht="15" hidden="false" customHeight="false" outlineLevel="0" collapsed="false">
      <c r="A362" s="10" t="s">
        <v>719</v>
      </c>
      <c r="B362" s="10" t="s">
        <v>720</v>
      </c>
      <c r="C362" s="10" t="s">
        <v>21</v>
      </c>
      <c r="D362" s="10" t="s">
        <v>10</v>
      </c>
      <c r="E362" s="10" t="s">
        <v>33</v>
      </c>
      <c r="F362" s="11" t="n">
        <v>1567242.24</v>
      </c>
      <c r="G362" s="11" t="n">
        <v>1506371.44</v>
      </c>
      <c r="H362" s="11" t="n">
        <v>1057609.27</v>
      </c>
      <c r="I362" s="12" t="n">
        <v>7649</v>
      </c>
    </row>
    <row r="363" customFormat="false" ht="15" hidden="false" customHeight="false" outlineLevel="0" collapsed="false">
      <c r="A363" s="10" t="s">
        <v>721</v>
      </c>
      <c r="B363" s="10" t="s">
        <v>722</v>
      </c>
      <c r="C363" s="10" t="s">
        <v>21</v>
      </c>
      <c r="D363" s="10" t="s">
        <v>13</v>
      </c>
      <c r="E363" s="10" t="s">
        <v>81</v>
      </c>
      <c r="F363" s="11" t="n">
        <v>3585810.98</v>
      </c>
      <c r="G363" s="11" t="n">
        <v>3569701.68</v>
      </c>
      <c r="H363" s="11" t="n">
        <v>2581177.73</v>
      </c>
      <c r="I363" s="12" t="n">
        <v>6377</v>
      </c>
    </row>
    <row r="364" customFormat="false" ht="15" hidden="false" customHeight="false" outlineLevel="0" collapsed="false">
      <c r="A364" s="10" t="s">
        <v>723</v>
      </c>
      <c r="B364" s="10" t="s">
        <v>724</v>
      </c>
      <c r="C364" s="10" t="s">
        <v>21</v>
      </c>
      <c r="D364" s="10" t="s">
        <v>12</v>
      </c>
      <c r="E364" s="10" t="s">
        <v>55</v>
      </c>
      <c r="F364" s="11" t="n">
        <v>7339883.71</v>
      </c>
      <c r="G364" s="11" t="n">
        <v>7209566.56</v>
      </c>
      <c r="H364" s="11" t="n">
        <v>5845217.06</v>
      </c>
      <c r="I364" s="12" t="n">
        <v>7594</v>
      </c>
    </row>
    <row r="365" customFormat="false" ht="15" hidden="false" customHeight="false" outlineLevel="0" collapsed="false">
      <c r="A365" s="10" t="s">
        <v>725</v>
      </c>
      <c r="B365" s="10" t="s">
        <v>726</v>
      </c>
      <c r="C365" s="10" t="s">
        <v>29</v>
      </c>
      <c r="D365" s="10" t="s">
        <v>12</v>
      </c>
      <c r="E365" s="10" t="s">
        <v>90</v>
      </c>
      <c r="F365" s="11" t="n">
        <v>5583702.66</v>
      </c>
      <c r="G365" s="11" t="n">
        <v>5496393.77</v>
      </c>
      <c r="H365" s="11" t="n">
        <v>3826085.61</v>
      </c>
      <c r="I365" s="12" t="n">
        <v>3511</v>
      </c>
    </row>
    <row r="366" customFormat="false" ht="15" hidden="false" customHeight="false" outlineLevel="0" collapsed="false">
      <c r="A366" s="10" t="s">
        <v>727</v>
      </c>
      <c r="B366" s="10" t="s">
        <v>728</v>
      </c>
      <c r="C366" s="10" t="s">
        <v>29</v>
      </c>
      <c r="D366" s="10" t="s">
        <v>9</v>
      </c>
      <c r="E366" s="10" t="s">
        <v>47</v>
      </c>
      <c r="F366" s="11" t="n">
        <v>3891452.35</v>
      </c>
      <c r="G366" s="11" t="n">
        <v>3736259.99</v>
      </c>
      <c r="H366" s="11" t="n">
        <v>2396219.71</v>
      </c>
      <c r="I366" s="12" t="n">
        <v>4469</v>
      </c>
    </row>
    <row r="367" customFormat="false" ht="15" hidden="false" customHeight="false" outlineLevel="0" collapsed="false">
      <c r="A367" s="10" t="s">
        <v>729</v>
      </c>
      <c r="B367" s="10" t="s">
        <v>730</v>
      </c>
      <c r="C367" s="10" t="s">
        <v>21</v>
      </c>
      <c r="D367" s="10" t="s">
        <v>9</v>
      </c>
      <c r="E367" s="10" t="s">
        <v>127</v>
      </c>
      <c r="F367" s="11" t="n">
        <v>1135578.93</v>
      </c>
      <c r="G367" s="11" t="n">
        <v>1064239.86</v>
      </c>
      <c r="H367" s="11" t="n">
        <v>973900.08</v>
      </c>
      <c r="I367" s="12" t="n">
        <v>6721</v>
      </c>
    </row>
    <row r="368" customFormat="false" ht="15" hidden="false" customHeight="false" outlineLevel="0" collapsed="false">
      <c r="A368" s="10" t="s">
        <v>731</v>
      </c>
      <c r="B368" s="10" t="s">
        <v>732</v>
      </c>
      <c r="C368" s="10" t="s">
        <v>25</v>
      </c>
      <c r="D368" s="10" t="s">
        <v>10</v>
      </c>
      <c r="E368" s="10" t="s">
        <v>33</v>
      </c>
      <c r="F368" s="11" t="n">
        <v>3512421.62</v>
      </c>
      <c r="G368" s="11" t="n">
        <v>3465601.39</v>
      </c>
      <c r="H368" s="11" t="n">
        <v>2667340.96</v>
      </c>
      <c r="I368" s="12" t="n">
        <v>5457</v>
      </c>
    </row>
    <row r="369" customFormat="false" ht="15" hidden="false" customHeight="false" outlineLevel="0" collapsed="false">
      <c r="A369" s="10" t="s">
        <v>733</v>
      </c>
      <c r="B369" s="10" t="s">
        <v>734</v>
      </c>
      <c r="C369" s="10" t="s">
        <v>25</v>
      </c>
      <c r="D369" s="10" t="s">
        <v>9</v>
      </c>
      <c r="E369" s="10" t="s">
        <v>65</v>
      </c>
      <c r="F369" s="11" t="n">
        <v>6066506.98</v>
      </c>
      <c r="G369" s="11" t="n">
        <v>5806664.09</v>
      </c>
      <c r="H369" s="11" t="n">
        <v>4274670.93</v>
      </c>
      <c r="I369" s="12" t="n">
        <v>7343</v>
      </c>
    </row>
    <row r="370" customFormat="false" ht="15" hidden="false" customHeight="false" outlineLevel="0" collapsed="false">
      <c r="A370" s="10" t="s">
        <v>735</v>
      </c>
      <c r="B370" s="10" t="s">
        <v>736</v>
      </c>
      <c r="C370" s="10" t="s">
        <v>29</v>
      </c>
      <c r="D370" s="10" t="s">
        <v>11</v>
      </c>
      <c r="E370" s="10" t="s">
        <v>71</v>
      </c>
      <c r="F370" s="11" t="n">
        <v>1389722.96</v>
      </c>
      <c r="G370" s="11" t="n">
        <v>1367907.21</v>
      </c>
      <c r="H370" s="11" t="n">
        <v>867505.15</v>
      </c>
      <c r="I370" s="12" t="n">
        <v>2377</v>
      </c>
    </row>
    <row r="371" customFormat="false" ht="15" hidden="false" customHeight="false" outlineLevel="0" collapsed="false">
      <c r="A371" s="10" t="s">
        <v>737</v>
      </c>
      <c r="B371" s="10" t="s">
        <v>738</v>
      </c>
      <c r="C371" s="10" t="s">
        <v>21</v>
      </c>
      <c r="D371" s="10" t="s">
        <v>13</v>
      </c>
      <c r="E371" s="10" t="s">
        <v>22</v>
      </c>
      <c r="F371" s="11" t="n">
        <v>5627945.43</v>
      </c>
      <c r="G371" s="11" t="n">
        <v>5439944.7</v>
      </c>
      <c r="H371" s="11" t="n">
        <v>4103394.22</v>
      </c>
      <c r="I371" s="12" t="n">
        <v>5585</v>
      </c>
    </row>
    <row r="372" customFormat="false" ht="15" hidden="false" customHeight="false" outlineLevel="0" collapsed="false">
      <c r="A372" s="10" t="s">
        <v>739</v>
      </c>
      <c r="B372" s="10" t="s">
        <v>740</v>
      </c>
      <c r="C372" s="10" t="s">
        <v>21</v>
      </c>
      <c r="D372" s="10" t="s">
        <v>12</v>
      </c>
      <c r="E372" s="10" t="s">
        <v>90</v>
      </c>
      <c r="F372" s="11" t="n">
        <v>5694761.22</v>
      </c>
      <c r="G372" s="11" t="n">
        <v>5332058.69</v>
      </c>
      <c r="H372" s="10" t="s">
        <v>117</v>
      </c>
      <c r="I372" s="12" t="n">
        <v>8033</v>
      </c>
    </row>
    <row r="373" customFormat="false" ht="15" hidden="false" customHeight="false" outlineLevel="0" collapsed="false">
      <c r="A373" s="10"/>
      <c r="B373" s="10" t="s">
        <v>741</v>
      </c>
      <c r="C373" s="10" t="s">
        <v>21</v>
      </c>
      <c r="D373" s="10" t="s">
        <v>10</v>
      </c>
      <c r="E373" s="10" t="s">
        <v>33</v>
      </c>
      <c r="F373" s="11" t="n">
        <v>5570798.03</v>
      </c>
      <c r="G373" s="11" t="n">
        <v>5442044.78</v>
      </c>
      <c r="H373" s="11" t="n">
        <v>4495800.11</v>
      </c>
      <c r="I373" s="12" t="n">
        <v>7077</v>
      </c>
    </row>
    <row r="374" customFormat="false" ht="15" hidden="false" customHeight="false" outlineLevel="0" collapsed="false">
      <c r="A374" s="10" t="s">
        <v>742</v>
      </c>
      <c r="B374" s="10" t="s">
        <v>743</v>
      </c>
      <c r="C374" s="10" t="s">
        <v>21</v>
      </c>
      <c r="D374" s="10" t="s">
        <v>11</v>
      </c>
      <c r="E374" s="10" t="s">
        <v>58</v>
      </c>
      <c r="F374" s="11" t="n">
        <v>1302094.11</v>
      </c>
      <c r="G374" s="11" t="n">
        <v>1297173.15</v>
      </c>
      <c r="H374" s="11" t="n">
        <v>859815.44</v>
      </c>
      <c r="I374" s="12" t="n">
        <v>4978</v>
      </c>
    </row>
    <row r="375" customFormat="false" ht="15" hidden="false" customHeight="false" outlineLevel="0" collapsed="false">
      <c r="A375" s="10" t="s">
        <v>744</v>
      </c>
      <c r="B375" s="10" t="s">
        <v>745</v>
      </c>
      <c r="C375" s="10" t="s">
        <v>21</v>
      </c>
      <c r="D375" s="10" t="s">
        <v>11</v>
      </c>
      <c r="E375" s="10" t="s">
        <v>58</v>
      </c>
      <c r="F375" s="11" t="n">
        <v>5295240.74</v>
      </c>
      <c r="G375" s="11" t="n">
        <v>5277934.52</v>
      </c>
      <c r="H375" s="11" t="n">
        <v>3979076.18</v>
      </c>
      <c r="I375" s="12" t="n">
        <v>8919</v>
      </c>
    </row>
    <row r="376" customFormat="false" ht="15" hidden="false" customHeight="false" outlineLevel="0" collapsed="false">
      <c r="A376" s="10" t="s">
        <v>746</v>
      </c>
      <c r="B376" s="10" t="s">
        <v>747</v>
      </c>
      <c r="C376" s="10" t="s">
        <v>21</v>
      </c>
      <c r="D376" s="10" t="s">
        <v>13</v>
      </c>
      <c r="E376" s="10" t="s">
        <v>22</v>
      </c>
      <c r="F376" s="11" t="n">
        <v>7029243.35</v>
      </c>
      <c r="G376" s="11" t="n">
        <v>6715471.57</v>
      </c>
      <c r="H376" s="11" t="n">
        <v>5090758.74</v>
      </c>
      <c r="I376" s="12" t="n">
        <v>7690</v>
      </c>
    </row>
    <row r="377" customFormat="false" ht="15" hidden="false" customHeight="false" outlineLevel="0" collapsed="false">
      <c r="A377" s="10" t="s">
        <v>748</v>
      </c>
      <c r="B377" s="10" t="s">
        <v>749</v>
      </c>
      <c r="C377" s="10" t="s">
        <v>21</v>
      </c>
      <c r="D377" s="10" t="s">
        <v>13</v>
      </c>
      <c r="E377" s="10" t="s">
        <v>81</v>
      </c>
      <c r="F377" s="11" t="n">
        <v>2859701.61</v>
      </c>
      <c r="G377" s="11" t="n">
        <v>2752958.88</v>
      </c>
      <c r="H377" s="11" t="n">
        <v>1747771.38</v>
      </c>
      <c r="I377" s="12" t="n">
        <v>875</v>
      </c>
    </row>
    <row r="378" customFormat="false" ht="15" hidden="false" customHeight="false" outlineLevel="0" collapsed="false">
      <c r="A378" s="10" t="s">
        <v>750</v>
      </c>
      <c r="B378" s="10" t="s">
        <v>751</v>
      </c>
      <c r="C378" s="10" t="s">
        <v>25</v>
      </c>
      <c r="D378" s="10" t="s">
        <v>9</v>
      </c>
      <c r="E378" s="10" t="s">
        <v>65</v>
      </c>
      <c r="F378" s="11" t="n">
        <v>2747329.28</v>
      </c>
      <c r="G378" s="11" t="n">
        <v>2567122.83</v>
      </c>
      <c r="H378" s="11" t="n">
        <v>1936349.43</v>
      </c>
      <c r="I378" s="12" t="n">
        <v>2016</v>
      </c>
    </row>
    <row r="379" customFormat="false" ht="15" hidden="false" customHeight="false" outlineLevel="0" collapsed="false">
      <c r="A379" s="10" t="s">
        <v>752</v>
      </c>
      <c r="B379" s="10" t="s">
        <v>753</v>
      </c>
      <c r="C379" s="10" t="s">
        <v>29</v>
      </c>
      <c r="D379" s="10" t="s">
        <v>9</v>
      </c>
      <c r="E379" s="10" t="s">
        <v>26</v>
      </c>
      <c r="F379" s="11" t="n">
        <v>3670671.02</v>
      </c>
      <c r="G379" s="11" t="n">
        <v>3622523.27</v>
      </c>
      <c r="H379" s="11" t="n">
        <v>2603613.57</v>
      </c>
      <c r="I379" s="12" t="n">
        <v>6363</v>
      </c>
    </row>
    <row r="380" customFormat="false" ht="15" hidden="false" customHeight="false" outlineLevel="0" collapsed="false">
      <c r="A380" s="10" t="s">
        <v>754</v>
      </c>
      <c r="B380" s="10" t="s">
        <v>755</v>
      </c>
      <c r="C380" s="10" t="s">
        <v>21</v>
      </c>
      <c r="D380" s="10" t="s">
        <v>9</v>
      </c>
      <c r="E380" s="10" t="s">
        <v>130</v>
      </c>
      <c r="F380" s="11" t="n">
        <v>5648727.11</v>
      </c>
      <c r="G380" s="11" t="n">
        <v>5299792.01</v>
      </c>
      <c r="H380" s="11" t="n">
        <v>3903340.34</v>
      </c>
      <c r="I380" s="12" t="n">
        <v>7148</v>
      </c>
    </row>
    <row r="381" customFormat="false" ht="15" hidden="false" customHeight="false" outlineLevel="0" collapsed="false">
      <c r="A381" s="10" t="s">
        <v>756</v>
      </c>
      <c r="B381" s="10" t="s">
        <v>757</v>
      </c>
      <c r="C381" s="10" t="s">
        <v>21</v>
      </c>
      <c r="D381" s="10" t="s">
        <v>12</v>
      </c>
      <c r="E381" s="10" t="s">
        <v>68</v>
      </c>
      <c r="F381" s="11" t="n">
        <v>1815239.78</v>
      </c>
      <c r="G381" s="11" t="n">
        <v>1767406.05</v>
      </c>
      <c r="H381" s="11" t="n">
        <v>1416879.34</v>
      </c>
      <c r="I381" s="12" t="n">
        <v>1128</v>
      </c>
    </row>
    <row r="382" customFormat="false" ht="15" hidden="false" customHeight="false" outlineLevel="0" collapsed="false">
      <c r="A382" s="10" t="s">
        <v>758</v>
      </c>
      <c r="B382" s="10" t="s">
        <v>759</v>
      </c>
      <c r="C382" s="10" t="s">
        <v>29</v>
      </c>
      <c r="D382" s="10" t="s">
        <v>12</v>
      </c>
      <c r="E382" s="10" t="s">
        <v>55</v>
      </c>
      <c r="F382" s="11" t="n">
        <v>2889318.51</v>
      </c>
      <c r="G382" s="11" t="n">
        <v>2772251.22</v>
      </c>
      <c r="H382" s="11" t="n">
        <v>2158934.46</v>
      </c>
      <c r="I382" s="12" t="n">
        <v>8893</v>
      </c>
    </row>
    <row r="383" customFormat="false" ht="15" hidden="false" customHeight="false" outlineLevel="0" collapsed="false">
      <c r="A383" s="10" t="s">
        <v>760</v>
      </c>
      <c r="B383" s="10" t="s">
        <v>761</v>
      </c>
      <c r="C383" s="10" t="s">
        <v>21</v>
      </c>
      <c r="D383" s="10" t="s">
        <v>9</v>
      </c>
      <c r="E383" s="10" t="s">
        <v>154</v>
      </c>
      <c r="F383" s="11" t="n">
        <v>6748969.84</v>
      </c>
      <c r="G383" s="11" t="n">
        <v>6673121.88</v>
      </c>
      <c r="H383" s="11" t="n">
        <v>5340273.32</v>
      </c>
      <c r="I383" s="12" t="n">
        <v>3088</v>
      </c>
    </row>
    <row r="384" customFormat="false" ht="15" hidden="false" customHeight="false" outlineLevel="0" collapsed="false">
      <c r="A384" s="10" t="s">
        <v>762</v>
      </c>
      <c r="B384" s="10" t="s">
        <v>763</v>
      </c>
      <c r="C384" s="10" t="s">
        <v>21</v>
      </c>
      <c r="D384" s="10" t="s">
        <v>13</v>
      </c>
      <c r="E384" s="10" t="s">
        <v>44</v>
      </c>
      <c r="F384" s="11" t="n">
        <v>4378453.76</v>
      </c>
      <c r="G384" s="11" t="n">
        <v>4345420.22</v>
      </c>
      <c r="H384" s="11" t="n">
        <v>3497283.21</v>
      </c>
      <c r="I384" s="12" t="n">
        <v>2581</v>
      </c>
    </row>
    <row r="385" customFormat="false" ht="15" hidden="false" customHeight="false" outlineLevel="0" collapsed="false">
      <c r="A385" s="10" t="s">
        <v>764</v>
      </c>
      <c r="B385" s="10" t="s">
        <v>765</v>
      </c>
      <c r="C385" s="10" t="s">
        <v>21</v>
      </c>
      <c r="D385" s="10" t="s">
        <v>9</v>
      </c>
      <c r="E385" s="10" t="s">
        <v>65</v>
      </c>
      <c r="F385" s="11" t="n">
        <v>5545667.81</v>
      </c>
      <c r="G385" s="11" t="n">
        <v>5353957.35</v>
      </c>
      <c r="H385" s="11" t="n">
        <v>4632550.58</v>
      </c>
      <c r="I385" s="12" t="n">
        <v>5140</v>
      </c>
    </row>
    <row r="386" customFormat="false" ht="15" hidden="false" customHeight="false" outlineLevel="0" collapsed="false">
      <c r="A386" s="10" t="s">
        <v>766</v>
      </c>
      <c r="B386" s="10" t="s">
        <v>767</v>
      </c>
      <c r="C386" s="10" t="s">
        <v>25</v>
      </c>
      <c r="D386" s="10" t="s">
        <v>10</v>
      </c>
      <c r="E386" s="10" t="s">
        <v>33</v>
      </c>
      <c r="F386" s="11" t="n">
        <v>1287198.46</v>
      </c>
      <c r="G386" s="11" t="n">
        <v>1271081.85</v>
      </c>
      <c r="H386" s="11" t="n">
        <v>781412.16</v>
      </c>
      <c r="I386" s="12" t="n">
        <v>5140</v>
      </c>
    </row>
    <row r="387" customFormat="false" ht="15" hidden="false" customHeight="false" outlineLevel="0" collapsed="false">
      <c r="A387" s="10" t="s">
        <v>768</v>
      </c>
      <c r="B387" s="10" t="s">
        <v>769</v>
      </c>
      <c r="C387" s="10" t="s">
        <v>21</v>
      </c>
      <c r="D387" s="10" t="s">
        <v>11</v>
      </c>
      <c r="E387" s="10" t="s">
        <v>71</v>
      </c>
      <c r="F387" s="11" t="n">
        <v>6746235.69</v>
      </c>
      <c r="G387" s="11" t="n">
        <v>6545496.3</v>
      </c>
      <c r="H387" s="11" t="n">
        <v>4447131.22</v>
      </c>
      <c r="I387" s="12" t="n">
        <v>5493</v>
      </c>
    </row>
    <row r="388" customFormat="false" ht="15" hidden="false" customHeight="false" outlineLevel="0" collapsed="false">
      <c r="A388" s="10" t="s">
        <v>770</v>
      </c>
      <c r="B388" s="10" t="s">
        <v>771</v>
      </c>
      <c r="C388" s="10" t="s">
        <v>29</v>
      </c>
      <c r="D388" s="10" t="s">
        <v>13</v>
      </c>
      <c r="E388" s="10" t="s">
        <v>122</v>
      </c>
      <c r="F388" s="11" t="n">
        <v>1913819.66</v>
      </c>
      <c r="G388" s="11" t="n">
        <v>1818094.02</v>
      </c>
      <c r="H388" s="11" t="n">
        <v>1318953.4</v>
      </c>
      <c r="I388" s="12" t="n">
        <v>5480</v>
      </c>
    </row>
    <row r="389" customFormat="false" ht="15" hidden="false" customHeight="false" outlineLevel="0" collapsed="false">
      <c r="A389" s="10" t="s">
        <v>772</v>
      </c>
      <c r="B389" s="10" t="s">
        <v>773</v>
      </c>
      <c r="C389" s="10" t="s">
        <v>21</v>
      </c>
      <c r="D389" s="10" t="s">
        <v>11</v>
      </c>
      <c r="E389" s="10" t="s">
        <v>165</v>
      </c>
      <c r="F389" s="11" t="n">
        <v>6124560.43</v>
      </c>
      <c r="G389" s="11" t="n">
        <v>5713776.95</v>
      </c>
      <c r="H389" s="11" t="n">
        <v>3724262.6</v>
      </c>
      <c r="I389" s="12" t="n">
        <v>4099</v>
      </c>
    </row>
    <row r="390" customFormat="false" ht="15" hidden="false" customHeight="false" outlineLevel="0" collapsed="false">
      <c r="A390" s="10" t="s">
        <v>774</v>
      </c>
      <c r="B390" s="10" t="s">
        <v>775</v>
      </c>
      <c r="C390" s="10" t="s">
        <v>21</v>
      </c>
      <c r="D390" s="10" t="s">
        <v>9</v>
      </c>
      <c r="E390" s="10" t="s">
        <v>154</v>
      </c>
      <c r="F390" s="11" t="n">
        <v>3382349.68</v>
      </c>
      <c r="G390" s="11" t="n">
        <v>3182268.03</v>
      </c>
      <c r="H390" s="11" t="n">
        <v>2099357.29</v>
      </c>
      <c r="I390" s="12" t="n">
        <v>3668</v>
      </c>
    </row>
    <row r="391" customFormat="false" ht="15" hidden="false" customHeight="false" outlineLevel="0" collapsed="false">
      <c r="A391" s="10" t="s">
        <v>776</v>
      </c>
      <c r="B391" s="10" t="s">
        <v>777</v>
      </c>
      <c r="C391" s="10" t="s">
        <v>25</v>
      </c>
      <c r="D391" s="10" t="s">
        <v>13</v>
      </c>
      <c r="E391" s="10" t="s">
        <v>22</v>
      </c>
      <c r="F391" s="11" t="n">
        <v>7132946.62</v>
      </c>
      <c r="G391" s="11" t="n">
        <v>6983137.37</v>
      </c>
      <c r="H391" s="11" t="n">
        <v>5490124.97</v>
      </c>
      <c r="I391" s="12" t="n">
        <v>5712</v>
      </c>
    </row>
    <row r="392" customFormat="false" ht="15" hidden="false" customHeight="false" outlineLevel="0" collapsed="false">
      <c r="A392" s="10" t="s">
        <v>778</v>
      </c>
      <c r="B392" s="10" t="s">
        <v>779</v>
      </c>
      <c r="C392" s="10" t="s">
        <v>29</v>
      </c>
      <c r="D392" s="10" t="s">
        <v>10</v>
      </c>
      <c r="E392" s="10" t="s">
        <v>30</v>
      </c>
      <c r="F392" s="11" t="n">
        <v>510372.5</v>
      </c>
      <c r="G392" s="11" t="n">
        <v>493424.26</v>
      </c>
      <c r="H392" s="11" t="n">
        <v>420404.6</v>
      </c>
      <c r="I392" s="12" t="n">
        <v>3252</v>
      </c>
    </row>
    <row r="393" customFormat="false" ht="15" hidden="false" customHeight="false" outlineLevel="0" collapsed="false">
      <c r="A393" s="10" t="s">
        <v>780</v>
      </c>
      <c r="B393" s="10" t="s">
        <v>781</v>
      </c>
      <c r="C393" s="10" t="s">
        <v>25</v>
      </c>
      <c r="D393" s="10" t="s">
        <v>11</v>
      </c>
      <c r="E393" s="10" t="s">
        <v>58</v>
      </c>
      <c r="F393" s="11" t="n">
        <v>1156043.69</v>
      </c>
      <c r="G393" s="11" t="n">
        <v>1149033.51</v>
      </c>
      <c r="H393" s="11" t="n">
        <v>811519.48</v>
      </c>
      <c r="I393" s="12" t="n">
        <v>5306</v>
      </c>
    </row>
    <row r="394" customFormat="false" ht="15" hidden="false" customHeight="false" outlineLevel="0" collapsed="false">
      <c r="A394" s="10" t="s">
        <v>782</v>
      </c>
      <c r="B394" s="10" t="s">
        <v>783</v>
      </c>
      <c r="C394" s="10" t="s">
        <v>25</v>
      </c>
      <c r="D394" s="10" t="s">
        <v>13</v>
      </c>
      <c r="E394" s="10" t="s">
        <v>22</v>
      </c>
      <c r="F394" s="11" t="n">
        <v>6625315.84</v>
      </c>
      <c r="G394" s="11" t="n">
        <v>6473034.84</v>
      </c>
      <c r="H394" s="11" t="n">
        <v>4413357.3</v>
      </c>
      <c r="I394" s="12" t="n">
        <v>6610</v>
      </c>
    </row>
    <row r="395" customFormat="false" ht="15" hidden="false" customHeight="false" outlineLevel="0" collapsed="false">
      <c r="A395" s="10" t="s">
        <v>784</v>
      </c>
      <c r="B395" s="10" t="s">
        <v>785</v>
      </c>
      <c r="C395" s="10" t="s">
        <v>29</v>
      </c>
      <c r="D395" s="10" t="s">
        <v>13</v>
      </c>
      <c r="E395" s="10" t="s">
        <v>122</v>
      </c>
      <c r="F395" s="11" t="n">
        <v>2869953.55</v>
      </c>
      <c r="G395" s="11" t="n">
        <v>2692827.52</v>
      </c>
      <c r="H395" s="11" t="n">
        <v>1955361.79</v>
      </c>
      <c r="I395" s="12" t="n">
        <v>8630</v>
      </c>
    </row>
    <row r="396" customFormat="false" ht="15" hidden="false" customHeight="false" outlineLevel="0" collapsed="false">
      <c r="A396" s="10" t="s">
        <v>786</v>
      </c>
      <c r="B396" s="10" t="s">
        <v>787</v>
      </c>
      <c r="C396" s="10" t="s">
        <v>21</v>
      </c>
      <c r="D396" s="10" t="s">
        <v>13</v>
      </c>
      <c r="E396" s="10" t="s">
        <v>143</v>
      </c>
      <c r="F396" s="11" t="n">
        <v>1235441.64</v>
      </c>
      <c r="G396" s="11" t="n">
        <v>1173534.91</v>
      </c>
      <c r="H396" s="11" t="n">
        <v>927901.1</v>
      </c>
      <c r="I396" s="12" t="n">
        <v>6252</v>
      </c>
    </row>
    <row r="397" customFormat="false" ht="15" hidden="false" customHeight="false" outlineLevel="0" collapsed="false">
      <c r="A397" s="10" t="s">
        <v>788</v>
      </c>
      <c r="B397" s="10" t="s">
        <v>789</v>
      </c>
      <c r="C397" s="10" t="s">
        <v>29</v>
      </c>
      <c r="D397" s="10" t="s">
        <v>11</v>
      </c>
      <c r="E397" s="10" t="s">
        <v>58</v>
      </c>
      <c r="F397" s="11" t="n">
        <v>1685401.64</v>
      </c>
      <c r="G397" s="11" t="n">
        <v>1640841.17</v>
      </c>
      <c r="H397" s="11" t="n">
        <v>1206513.32</v>
      </c>
      <c r="I397" s="12" t="n">
        <v>4175</v>
      </c>
    </row>
    <row r="398" customFormat="false" ht="15" hidden="false" customHeight="false" outlineLevel="0" collapsed="false">
      <c r="A398" s="10" t="s">
        <v>790</v>
      </c>
      <c r="B398" s="10" t="s">
        <v>791</v>
      </c>
      <c r="C398" s="10" t="s">
        <v>21</v>
      </c>
      <c r="D398" s="10" t="s">
        <v>13</v>
      </c>
      <c r="E398" s="10" t="s">
        <v>22</v>
      </c>
      <c r="F398" s="11" t="n">
        <v>4369754.23</v>
      </c>
      <c r="G398" s="11" t="n">
        <v>4365894.5</v>
      </c>
      <c r="H398" s="11" t="n">
        <v>3351591.54</v>
      </c>
      <c r="I398" s="12" t="n">
        <v>6727</v>
      </c>
    </row>
    <row r="399" customFormat="false" ht="15" hidden="false" customHeight="false" outlineLevel="0" collapsed="false">
      <c r="A399" s="10" t="s">
        <v>792</v>
      </c>
      <c r="B399" s="10" t="s">
        <v>793</v>
      </c>
      <c r="C399" s="10" t="s">
        <v>21</v>
      </c>
      <c r="D399" s="10" t="s">
        <v>11</v>
      </c>
      <c r="E399" s="10" t="s">
        <v>165</v>
      </c>
      <c r="F399" s="11" t="n">
        <v>4414129.93</v>
      </c>
      <c r="G399" s="11" t="n">
        <v>4252499.56</v>
      </c>
      <c r="H399" s="11" t="n">
        <v>2996176.46</v>
      </c>
      <c r="I399" s="12" t="n">
        <v>8315</v>
      </c>
    </row>
    <row r="400" customFormat="false" ht="15" hidden="false" customHeight="false" outlineLevel="0" collapsed="false">
      <c r="A400" s="10" t="s">
        <v>794</v>
      </c>
      <c r="B400" s="10" t="s">
        <v>795</v>
      </c>
      <c r="C400" s="10" t="s">
        <v>21</v>
      </c>
      <c r="D400" s="10" t="s">
        <v>12</v>
      </c>
      <c r="E400" s="10" t="s">
        <v>55</v>
      </c>
      <c r="F400" s="11" t="n">
        <v>2578029.75</v>
      </c>
      <c r="G400" s="11" t="n">
        <v>2413727.67</v>
      </c>
      <c r="H400" s="11" t="n">
        <v>2123086.29</v>
      </c>
      <c r="I400" s="12" t="n">
        <v>5504</v>
      </c>
    </row>
    <row r="401" customFormat="false" ht="15" hidden="false" customHeight="false" outlineLevel="0" collapsed="false">
      <c r="A401" s="10" t="s">
        <v>796</v>
      </c>
      <c r="B401" s="10" t="s">
        <v>797</v>
      </c>
      <c r="C401" s="10" t="s">
        <v>21</v>
      </c>
      <c r="D401" s="10" t="s">
        <v>10</v>
      </c>
      <c r="E401" s="10" t="s">
        <v>33</v>
      </c>
      <c r="F401" s="11" t="n">
        <v>1901740.07</v>
      </c>
      <c r="G401" s="11" t="n">
        <v>1782622.71</v>
      </c>
      <c r="H401" s="11" t="n">
        <v>1512418.1</v>
      </c>
      <c r="I401" s="12" t="n">
        <v>5256</v>
      </c>
    </row>
    <row r="402" customFormat="false" ht="15" hidden="false" customHeight="false" outlineLevel="0" collapsed="false">
      <c r="A402" s="10" t="s">
        <v>798</v>
      </c>
      <c r="B402" s="10" t="s">
        <v>799</v>
      </c>
      <c r="C402" s="10" t="s">
        <v>21</v>
      </c>
      <c r="D402" s="10" t="s">
        <v>11</v>
      </c>
      <c r="E402" s="10" t="s">
        <v>39</v>
      </c>
      <c r="F402" s="11" t="n">
        <v>1038305.33</v>
      </c>
      <c r="G402" s="11" t="n">
        <v>1006921.76</v>
      </c>
      <c r="H402" s="11" t="n">
        <v>789065.24</v>
      </c>
      <c r="I402" s="12" t="n">
        <v>791</v>
      </c>
    </row>
    <row r="403" customFormat="false" ht="15" hidden="false" customHeight="false" outlineLevel="0" collapsed="false">
      <c r="A403" s="10" t="s">
        <v>800</v>
      </c>
      <c r="B403" s="10" t="s">
        <v>801</v>
      </c>
      <c r="C403" s="10" t="s">
        <v>29</v>
      </c>
      <c r="D403" s="10" t="s">
        <v>11</v>
      </c>
      <c r="E403" s="10" t="s">
        <v>104</v>
      </c>
      <c r="F403" s="11" t="n">
        <v>1484376.7</v>
      </c>
      <c r="G403" s="11" t="n">
        <v>1397489.11</v>
      </c>
      <c r="H403" s="11" t="n">
        <v>1117930.3</v>
      </c>
      <c r="I403" s="12" t="n">
        <v>2456</v>
      </c>
    </row>
    <row r="404" customFormat="false" ht="15" hidden="false" customHeight="false" outlineLevel="0" collapsed="false">
      <c r="A404" s="10" t="s">
        <v>802</v>
      </c>
      <c r="B404" s="10" t="s">
        <v>803</v>
      </c>
      <c r="C404" s="10" t="s">
        <v>21</v>
      </c>
      <c r="D404" s="10" t="s">
        <v>13</v>
      </c>
      <c r="E404" s="10" t="s">
        <v>44</v>
      </c>
      <c r="F404" s="11" t="n">
        <v>2451723.33</v>
      </c>
      <c r="G404" s="11" t="n">
        <v>2417259.66</v>
      </c>
      <c r="H404" s="11" t="n">
        <v>2015929.56</v>
      </c>
      <c r="I404" s="12" t="n">
        <v>1637</v>
      </c>
    </row>
    <row r="405" customFormat="false" ht="15" hidden="false" customHeight="false" outlineLevel="0" collapsed="false">
      <c r="A405" s="10" t="s">
        <v>804</v>
      </c>
      <c r="B405" s="10" t="s">
        <v>805</v>
      </c>
      <c r="C405" s="10" t="s">
        <v>25</v>
      </c>
      <c r="D405" s="10" t="s">
        <v>12</v>
      </c>
      <c r="E405" s="10" t="s">
        <v>55</v>
      </c>
      <c r="F405" s="11" t="n">
        <v>4934771.73</v>
      </c>
      <c r="G405" s="11" t="n">
        <v>4842153.16</v>
      </c>
      <c r="H405" s="11" t="n">
        <v>3759112.96</v>
      </c>
      <c r="I405" s="12" t="n">
        <v>7248</v>
      </c>
    </row>
    <row r="406" customFormat="false" ht="15" hidden="false" customHeight="false" outlineLevel="0" collapsed="false">
      <c r="A406" s="10" t="s">
        <v>806</v>
      </c>
      <c r="B406" s="10" t="s">
        <v>807</v>
      </c>
      <c r="C406" s="10" t="s">
        <v>29</v>
      </c>
      <c r="D406" s="10" t="s">
        <v>11</v>
      </c>
      <c r="E406" s="10" t="s">
        <v>71</v>
      </c>
      <c r="F406" s="11" t="n">
        <v>2174267.81</v>
      </c>
      <c r="G406" s="11" t="n">
        <v>2171876.89</v>
      </c>
      <c r="H406" s="11" t="n">
        <v>1664723.07</v>
      </c>
      <c r="I406" s="12" t="n">
        <v>8014</v>
      </c>
    </row>
    <row r="407" customFormat="false" ht="15" hidden="false" customHeight="false" outlineLevel="0" collapsed="false">
      <c r="A407" s="10" t="s">
        <v>808</v>
      </c>
      <c r="B407" s="10" t="s">
        <v>809</v>
      </c>
      <c r="C407" s="10" t="s">
        <v>25</v>
      </c>
      <c r="D407" s="10" t="s">
        <v>11</v>
      </c>
      <c r="E407" s="10" t="s">
        <v>104</v>
      </c>
      <c r="F407" s="11" t="n">
        <v>1359993.43</v>
      </c>
      <c r="G407" s="11" t="n">
        <v>1329674.22</v>
      </c>
      <c r="H407" s="11" t="n">
        <v>1149785.87</v>
      </c>
      <c r="I407" s="12" t="n">
        <v>4566</v>
      </c>
    </row>
    <row r="408" customFormat="false" ht="15" hidden="false" customHeight="false" outlineLevel="0" collapsed="false">
      <c r="A408" s="10" t="s">
        <v>810</v>
      </c>
      <c r="B408" s="10" t="s">
        <v>811</v>
      </c>
      <c r="C408" s="10" t="s">
        <v>25</v>
      </c>
      <c r="D408" s="10" t="s">
        <v>11</v>
      </c>
      <c r="E408" s="10" t="s">
        <v>165</v>
      </c>
      <c r="F408" s="11" t="n">
        <v>5363268.31</v>
      </c>
      <c r="G408" s="11" t="n">
        <v>5194861.79</v>
      </c>
      <c r="H408" s="11" t="n">
        <v>3508371.8</v>
      </c>
      <c r="I408" s="12" t="n">
        <v>4163</v>
      </c>
    </row>
    <row r="409" customFormat="false" ht="15" hidden="false" customHeight="false" outlineLevel="0" collapsed="false">
      <c r="A409" s="10" t="s">
        <v>812</v>
      </c>
      <c r="B409" s="10" t="s">
        <v>813</v>
      </c>
      <c r="C409" s="10" t="s">
        <v>21</v>
      </c>
      <c r="D409" s="10" t="s">
        <v>13</v>
      </c>
      <c r="E409" s="10" t="s">
        <v>122</v>
      </c>
      <c r="F409" s="11" t="n">
        <v>6750961.51</v>
      </c>
      <c r="G409" s="11" t="n">
        <v>6365890.41</v>
      </c>
      <c r="H409" s="11" t="n">
        <v>4255752.65</v>
      </c>
      <c r="I409" s="12" t="n">
        <v>8440</v>
      </c>
    </row>
    <row r="410" customFormat="false" ht="15" hidden="false" customHeight="false" outlineLevel="0" collapsed="false">
      <c r="A410" s="10" t="s">
        <v>814</v>
      </c>
      <c r="B410" s="10" t="s">
        <v>815</v>
      </c>
      <c r="C410" s="10" t="s">
        <v>21</v>
      </c>
      <c r="D410" s="10" t="s">
        <v>11</v>
      </c>
      <c r="E410" s="10" t="s">
        <v>39</v>
      </c>
      <c r="F410" s="11" t="n">
        <v>2731129.86</v>
      </c>
      <c r="G410" s="11" t="n">
        <v>2575775.93</v>
      </c>
      <c r="H410" s="11" t="n">
        <v>2096690.93</v>
      </c>
      <c r="I410" s="12" t="n">
        <v>7945</v>
      </c>
    </row>
    <row r="411" customFormat="false" ht="15" hidden="false" customHeight="false" outlineLevel="0" collapsed="false">
      <c r="A411" s="10" t="s">
        <v>816</v>
      </c>
      <c r="B411" s="10" t="s">
        <v>817</v>
      </c>
      <c r="C411" s="10" t="s">
        <v>21</v>
      </c>
      <c r="D411" s="10" t="s">
        <v>11</v>
      </c>
      <c r="E411" s="10" t="s">
        <v>39</v>
      </c>
      <c r="F411" s="11" t="n">
        <v>3126432.8</v>
      </c>
      <c r="G411" s="11" t="n">
        <v>3000535.92</v>
      </c>
      <c r="H411" s="11" t="n">
        <v>2296186.02</v>
      </c>
      <c r="I411" s="12" t="n">
        <v>3596</v>
      </c>
    </row>
    <row r="412" customFormat="false" ht="15" hidden="false" customHeight="false" outlineLevel="0" collapsed="false">
      <c r="A412" s="10" t="s">
        <v>818</v>
      </c>
      <c r="B412" s="10" t="s">
        <v>819</v>
      </c>
      <c r="C412" s="10" t="s">
        <v>25</v>
      </c>
      <c r="D412" s="10" t="s">
        <v>13</v>
      </c>
      <c r="E412" s="10" t="s">
        <v>44</v>
      </c>
      <c r="F412" s="11" t="n">
        <v>1170651.4</v>
      </c>
      <c r="G412" s="11" t="n">
        <v>1147540.08</v>
      </c>
      <c r="H412" s="11" t="n">
        <v>844759.63</v>
      </c>
      <c r="I412" s="12" t="n">
        <v>706</v>
      </c>
    </row>
    <row r="413" customFormat="false" ht="15" hidden="false" customHeight="false" outlineLevel="0" collapsed="false">
      <c r="A413" s="10" t="s">
        <v>820</v>
      </c>
      <c r="B413" s="10" t="s">
        <v>821</v>
      </c>
      <c r="C413" s="10" t="s">
        <v>29</v>
      </c>
      <c r="D413" s="10" t="s">
        <v>10</v>
      </c>
      <c r="E413" s="10" t="s">
        <v>33</v>
      </c>
      <c r="F413" s="11" t="n">
        <v>6309046.27</v>
      </c>
      <c r="G413" s="11" t="n">
        <v>5882753.9</v>
      </c>
      <c r="H413" s="11" t="n">
        <v>4000137.67</v>
      </c>
      <c r="I413" s="12" t="n">
        <v>469</v>
      </c>
    </row>
    <row r="414" customFormat="false" ht="15" hidden="false" customHeight="false" outlineLevel="0" collapsed="false">
      <c r="A414" s="10" t="s">
        <v>822</v>
      </c>
      <c r="B414" s="10" t="s">
        <v>823</v>
      </c>
      <c r="C414" s="10" t="s">
        <v>21</v>
      </c>
      <c r="D414" s="10" t="s">
        <v>9</v>
      </c>
      <c r="E414" s="10" t="s">
        <v>130</v>
      </c>
      <c r="F414" s="11" t="n">
        <v>4099246.36</v>
      </c>
      <c r="G414" s="11" t="n">
        <v>3845576.3</v>
      </c>
      <c r="H414" s="11" t="n">
        <v>2811456.23</v>
      </c>
      <c r="I414" s="12" t="n">
        <v>6276</v>
      </c>
    </row>
    <row r="415" customFormat="false" ht="15" hidden="false" customHeight="false" outlineLevel="0" collapsed="false">
      <c r="A415" s="10" t="s">
        <v>824</v>
      </c>
      <c r="B415" s="10" t="s">
        <v>825</v>
      </c>
      <c r="C415" s="10" t="s">
        <v>29</v>
      </c>
      <c r="D415" s="10" t="s">
        <v>13</v>
      </c>
      <c r="E415" s="10" t="s">
        <v>265</v>
      </c>
      <c r="F415" s="11" t="n">
        <v>2099143.53</v>
      </c>
      <c r="G415" s="11" t="n">
        <v>2038885.86</v>
      </c>
      <c r="H415" s="11" t="n">
        <v>1377044.74</v>
      </c>
      <c r="I415" s="12" t="n">
        <v>4363</v>
      </c>
    </row>
    <row r="416" customFormat="false" ht="15" hidden="false" customHeight="false" outlineLevel="0" collapsed="false">
      <c r="A416" s="10" t="s">
        <v>826</v>
      </c>
      <c r="B416" s="10" t="s">
        <v>827</v>
      </c>
      <c r="C416" s="10" t="s">
        <v>21</v>
      </c>
      <c r="D416" s="10" t="s">
        <v>10</v>
      </c>
      <c r="E416" s="10" t="s">
        <v>33</v>
      </c>
      <c r="F416" s="11" t="n">
        <v>5605047.95</v>
      </c>
      <c r="G416" s="11" t="n">
        <v>5584447.25</v>
      </c>
      <c r="H416" s="11" t="n">
        <v>3995338.13</v>
      </c>
      <c r="I416" s="12" t="n">
        <v>7350</v>
      </c>
    </row>
    <row r="417" customFormat="false" ht="15" hidden="false" customHeight="false" outlineLevel="0" collapsed="false">
      <c r="A417" s="10" t="s">
        <v>828</v>
      </c>
      <c r="B417" s="10" t="s">
        <v>829</v>
      </c>
      <c r="C417" s="10" t="s">
        <v>21</v>
      </c>
      <c r="D417" s="10" t="s">
        <v>11</v>
      </c>
      <c r="E417" s="10" t="s">
        <v>58</v>
      </c>
      <c r="F417" s="11" t="n">
        <v>1476292.78</v>
      </c>
      <c r="G417" s="11" t="n">
        <v>1374798.43</v>
      </c>
      <c r="H417" s="11" t="n">
        <v>1237848.73</v>
      </c>
      <c r="I417" s="12" t="n">
        <v>4359</v>
      </c>
    </row>
  </sheetData>
  <mergeCells count="14">
    <mergeCell ref="A1:I1"/>
    <mergeCell ref="A2:I2"/>
    <mergeCell ref="A4:E4"/>
    <mergeCell ref="A5:E5"/>
    <mergeCell ref="A6:E6"/>
    <mergeCell ref="A7:E7"/>
    <mergeCell ref="A8:E8"/>
    <mergeCell ref="A10:E10"/>
    <mergeCell ref="A12:E12"/>
    <mergeCell ref="A13:E13"/>
    <mergeCell ref="A14:E14"/>
    <mergeCell ref="A15:E15"/>
    <mergeCell ref="A16:E16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2026-10-27T22:47:39Z</dcterms:created>
  <dc:creator>openpyxl</dc:creator>
  <dc:description/>
  <dc:language>en-US</dc:language>
  <cp:lastModifiedBy/>
  <dcterms:modified xsi:type="dcterms:W3CDTF">2026-10-27T22:47:39Z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