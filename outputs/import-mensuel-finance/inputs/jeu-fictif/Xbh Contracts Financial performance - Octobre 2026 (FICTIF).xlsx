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XBH Contrac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<sst xmlns="http://schemas.openxmlformats.org/spreadsheetml/2006/main" count="83" uniqueCount="54">
  <si>
    <t xml:space="preserve">Xbh Contracts Financial performance : Octobre 2026 — DONNÉES FICTIVES</t>
  </si>
  <si>
    <t xml:space="preserve">Jeu de test fictif — aucune donnée Airbus réelle</t>
  </si>
  <si>
    <t xml:space="preserve">TOTAUX GLOBAUX — tous contrats</t>
  </si>
  <si>
    <t xml:space="preserve">Turnover (€)</t>
  </si>
  <si>
    <t xml:space="preserve">Invoicing (€)</t>
  </si>
  <si>
    <t xml:space="preserve">Cost (€)</t>
  </si>
  <si>
    <t xml:space="preserve">Flight Hours</t>
  </si>
  <si>
    <t xml:space="preserve">Nombre de lignes de contrats</t>
  </si>
  <si>
    <t xml:space="preserve">TOTAUX PAR RÉGION — Turnover (€)</t>
  </si>
  <si>
    <t xml:space="preserve">Europe</t>
  </si>
  <si>
    <t xml:space="preserve">NORAM</t>
  </si>
  <si>
    <t xml:space="preserve">LATAM</t>
  </si>
  <si>
    <t xml:space="preserve">APAC</t>
  </si>
  <si>
    <t xml:space="preserve">AFME</t>
  </si>
  <si>
    <t xml:space="preserve">WBS</t>
  </si>
  <si>
    <t xml:space="preserve">Client Name</t>
  </si>
  <si>
    <t xml:space="preserve">Contract Type</t>
  </si>
  <si>
    <t xml:space="preserve">Region</t>
  </si>
  <si>
    <t xml:space="preserve">Country</t>
  </si>
  <si>
    <t xml:space="preserve">FH.TEST001</t>
  </si>
  <si>
    <t xml:space="preserve">Alpha Aviation</t>
  </si>
  <si>
    <t xml:space="preserve">XBH</t>
  </si>
  <si>
    <t xml:space="preserve">France</t>
  </si>
  <si>
    <t xml:space="preserve">FH.TEST002</t>
  </si>
  <si>
    <t xml:space="preserve">Bravo Heli Services</t>
  </si>
  <si>
    <t xml:space="preserve">États-Unis</t>
  </si>
  <si>
    <t xml:space="preserve">FH.TEST003</t>
  </si>
  <si>
    <t xml:space="preserve">Condor Air</t>
  </si>
  <si>
    <t xml:space="preserve">Brésil</t>
  </si>
  <si>
    <t xml:space="preserve">FH.TEST004</t>
  </si>
  <si>
    <t xml:space="preserve">Dragon Rotor</t>
  </si>
  <si>
    <t xml:space="preserve">FBH</t>
  </si>
  <si>
    <t xml:space="preserve">Japon</t>
  </si>
  <si>
    <t xml:space="preserve">FH.TEST005</t>
  </si>
  <si>
    <t xml:space="preserve">Eagle Medevac</t>
  </si>
  <si>
    <t xml:space="preserve">Afrique du Sud</t>
  </si>
  <si>
    <t xml:space="preserve">FB.TEST060</t>
  </si>
  <si>
    <t xml:space="preserve">Falcon Offshore</t>
  </si>
  <si>
    <t xml:space="preserve">Norvège</t>
  </si>
  <si>
    <t xml:space="preserve">FH.TEST007 </t>
  </si>
  <si>
    <t xml:space="preserve">Gaviota Patrol</t>
  </si>
  <si>
    <t xml:space="preserve">Mexique</t>
  </si>
  <si>
    <t xml:space="preserve">FH.TEST008</t>
  </si>
  <si>
    <t xml:space="preserve">Harbor Police Wing</t>
  </si>
  <si>
    <t xml:space="preserve">Australie</t>
  </si>
  <si>
    <t xml:space="preserve">N/A</t>
  </si>
  <si>
    <t xml:space="preserve">FH.TEST009</t>
  </si>
  <si>
    <t xml:space="preserve">Ibex Mountain Rescue</t>
  </si>
  <si>
    <t xml:space="preserve">Suisse</t>
  </si>
  <si>
    <t xml:space="preserve">FH.TEST011</t>
  </si>
  <si>
    <t xml:space="preserve">Kestrel Charter</t>
  </si>
  <si>
    <t xml:space="preserve">Canada</t>
  </si>
  <si>
    <t xml:space="preserve">Lynx Helicopter Services</t>
  </si>
  <si>
    <t xml:space="preserve">Émirats arabes unis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</si>
</sst>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"/>
    <numFmt numFmtId="166" formatCode="#,##0"/>
    <numFmt numFmtId="167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888888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5C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2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8" min="6" style="0" width="18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4"/>
      <c r="C5" s="4"/>
      <c r="D5" s="4"/>
      <c r="E5" s="4"/>
      <c r="F5" s="5" t="n">
        <f aca="false">SUM(F20:F31)</f>
        <v>13587501.65</v>
      </c>
    </row>
    <row r="6" customFormat="false" ht="15" hidden="false" customHeight="false" outlineLevel="0" collapsed="false">
      <c r="A6" s="4" t="s">
        <v>4</v>
      </c>
      <c r="B6" s="4"/>
      <c r="C6" s="4"/>
      <c r="D6" s="4"/>
      <c r="E6" s="4"/>
      <c r="F6" s="5" t="n">
        <f aca="false">SUM(G20:G31)</f>
        <v>13218400</v>
      </c>
    </row>
    <row r="7" customFormat="false" ht="15" hidden="false" customHeight="false" outlineLevel="0" collapsed="false">
      <c r="A7" s="4" t="s">
        <v>5</v>
      </c>
      <c r="B7" s="4"/>
      <c r="C7" s="4"/>
      <c r="D7" s="4"/>
      <c r="E7" s="4"/>
      <c r="F7" s="5" t="n">
        <f aca="false">SUM(H20:H31)</f>
        <v>9356130.35</v>
      </c>
    </row>
    <row r="8" customFormat="false" ht="15" hidden="false" customHeight="false" outlineLevel="0" collapsed="false">
      <c r="A8" s="4" t="s">
        <v>6</v>
      </c>
      <c r="B8" s="4"/>
      <c r="C8" s="4"/>
      <c r="D8" s="4"/>
      <c r="E8" s="4"/>
      <c r="F8" s="6" t="n">
        <f aca="false">SUM(I20:I31)</f>
        <v>33417</v>
      </c>
    </row>
    <row r="10" customFormat="false" ht="15" hidden="false" customHeight="false" outlineLevel="0" collapsed="false">
      <c r="A10" s="4" t="s">
        <v>7</v>
      </c>
      <c r="B10" s="4"/>
      <c r="C10" s="4"/>
      <c r="D10" s="4"/>
      <c r="E10" s="4"/>
      <c r="F10" s="7" t="n">
        <f aca="false">COUNTA(B20:B31)</f>
        <v>12</v>
      </c>
    </row>
    <row r="12" customFormat="false" ht="15" hidden="false" customHeight="false" outlineLevel="0" collapsed="false">
      <c r="A12" s="3" t="s">
        <v>8</v>
      </c>
      <c r="B12" s="3"/>
      <c r="C12" s="3"/>
      <c r="D12" s="3"/>
      <c r="E12" s="3"/>
    </row>
    <row r="13" customFormat="false" ht="15" hidden="false" customHeight="false" outlineLevel="0" collapsed="false">
      <c r="A13" s="4" t="s">
        <v>9</v>
      </c>
      <c r="B13" s="4"/>
      <c r="C13" s="4"/>
      <c r="D13" s="4"/>
      <c r="E13" s="4"/>
      <c r="F13" s="8" t="n">
        <f aca="false">SUMIFS(F20:F31,D20:D31,"Europe")</f>
        <v>5104300.5</v>
      </c>
    </row>
    <row r="14" customFormat="false" ht="15" hidden="false" customHeight="false" outlineLevel="0" collapsed="false">
      <c r="A14" s="4" t="s">
        <v>10</v>
      </c>
      <c r="B14" s="4"/>
      <c r="C14" s="4"/>
      <c r="D14" s="4"/>
      <c r="E14" s="4"/>
      <c r="F14" s="8" t="n">
        <f aca="false">SUMIFS(F20:F31,D20:D31,"NORAM")</f>
        <v>3430450</v>
      </c>
    </row>
    <row r="15" customFormat="false" ht="15" hidden="false" customHeight="false" outlineLevel="0" collapsed="false">
      <c r="A15" s="4" t="s">
        <v>11</v>
      </c>
      <c r="B15" s="4"/>
      <c r="C15" s="4"/>
      <c r="D15" s="4"/>
      <c r="E15" s="4"/>
      <c r="F15" s="8" t="n">
        <f aca="false">SUMIFS(F20:F31,D20:D31,"LATAM")</f>
        <v>1297950.4</v>
      </c>
    </row>
    <row r="16" customFormat="false" ht="15" hidden="false" customHeight="false" outlineLevel="0" collapsed="false">
      <c r="A16" s="4" t="s">
        <v>12</v>
      </c>
      <c r="B16" s="4"/>
      <c r="C16" s="4"/>
      <c r="D16" s="4"/>
      <c r="E16" s="4"/>
      <c r="F16" s="8" t="n">
        <f aca="false">SUMIFS(F20:F31,D20:D31,"APAC")</f>
        <v>2531580.75</v>
      </c>
    </row>
    <row r="17" customFormat="false" ht="15" hidden="false" customHeight="false" outlineLevel="0" collapsed="false">
      <c r="A17" s="4" t="s">
        <v>13</v>
      </c>
      <c r="B17" s="4"/>
      <c r="C17" s="4"/>
      <c r="D17" s="4"/>
      <c r="E17" s="4"/>
      <c r="F17" s="8" t="n">
        <f aca="false">SUMIFS(F20:F31,D20:D31,"AFME")</f>
        <v>1223220</v>
      </c>
    </row>
    <row r="19" customFormat="false" ht="15" hidden="false" customHeight="false" outlineLevel="0" collapsed="false">
      <c r="A19" s="9" t="s">
        <v>14</v>
      </c>
      <c r="B19" s="9" t="s">
        <v>15</v>
      </c>
      <c r="C19" s="9" t="s">
        <v>16</v>
      </c>
      <c r="D19" s="9" t="s">
        <v>17</v>
      </c>
      <c r="E19" s="9" t="s">
        <v>18</v>
      </c>
      <c r="F19" s="9" t="s">
        <v>3</v>
      </c>
      <c r="G19" s="9" t="s">
        <v>4</v>
      </c>
      <c r="H19" s="9" t="s">
        <v>5</v>
      </c>
      <c r="I19" s="9" t="s">
        <v>6</v>
      </c>
    </row>
    <row r="20" customFormat="false" ht="15" hidden="false" customHeight="false" outlineLevel="0" collapsed="false">
      <c r="A20" s="10" t="s">
        <v>19</v>
      </c>
      <c r="B20" s="10" t="s">
        <v>20</v>
      </c>
      <c r="C20" s="10" t="s">
        <v>21</v>
      </c>
      <c r="D20" s="10" t="s">
        <v>9</v>
      </c>
      <c r="E20" s="10" t="s">
        <v>22</v>
      </c>
      <c r="F20" s="11" t="n">
        <v>1254300.5</v>
      </c>
      <c r="G20" s="11" t="n">
        <v>1180000</v>
      </c>
      <c r="H20" s="11" t="n">
        <v>842150.25</v>
      </c>
      <c r="I20" s="12" t="n">
        <v>3120</v>
      </c>
    </row>
    <row r="21" customFormat="false" ht="15" hidden="false" customHeight="false" outlineLevel="0" collapsed="false">
      <c r="A21" s="10" t="s">
        <v>23</v>
      </c>
      <c r="B21" s="10" t="s">
        <v>24</v>
      </c>
      <c r="C21" s="10" t="s">
        <v>21</v>
      </c>
      <c r="D21" s="10" t="s">
        <v>10</v>
      </c>
      <c r="E21" s="10" t="s">
        <v>25</v>
      </c>
      <c r="F21" s="11" t="n">
        <v>2310450</v>
      </c>
      <c r="G21" s="11" t="n">
        <v>2295000</v>
      </c>
      <c r="H21" s="11" t="n">
        <v>1650300</v>
      </c>
      <c r="I21" s="12" t="n">
        <v>5480</v>
      </c>
    </row>
    <row r="22" customFormat="false" ht="15" hidden="false" customHeight="false" outlineLevel="0" collapsed="false">
      <c r="A22" s="10" t="s">
        <v>26</v>
      </c>
      <c r="B22" s="10" t="s">
        <v>27</v>
      </c>
      <c r="C22" s="10" t="s">
        <v>21</v>
      </c>
      <c r="D22" s="10" t="s">
        <v>11</v>
      </c>
      <c r="E22" s="10" t="s">
        <v>28</v>
      </c>
      <c r="F22" s="11" t="n">
        <v>876200</v>
      </c>
      <c r="G22" s="11" t="n">
        <v>812500</v>
      </c>
      <c r="H22" s="11" t="n">
        <v>701950</v>
      </c>
      <c r="I22" s="12" t="n">
        <v>2140</v>
      </c>
    </row>
    <row r="23" customFormat="false" ht="15" hidden="false" customHeight="false" outlineLevel="0" collapsed="false">
      <c r="A23" s="10" t="s">
        <v>29</v>
      </c>
      <c r="B23" s="10" t="s">
        <v>30</v>
      </c>
      <c r="C23" s="10" t="s">
        <v>31</v>
      </c>
      <c r="D23" s="10" t="s">
        <v>12</v>
      </c>
      <c r="E23" s="10" t="s">
        <v>32</v>
      </c>
      <c r="F23" s="11" t="n">
        <v>1543980.75</v>
      </c>
      <c r="G23" s="11" t="n">
        <v>1500000</v>
      </c>
      <c r="H23" s="11" t="n">
        <v>998400.1</v>
      </c>
      <c r="I23" s="12" t="n">
        <v>3765</v>
      </c>
    </row>
    <row r="24" customFormat="false" ht="15" hidden="false" customHeight="false" outlineLevel="0" collapsed="false">
      <c r="A24" s="10" t="s">
        <v>33</v>
      </c>
      <c r="B24" s="10" t="s">
        <v>34</v>
      </c>
      <c r="C24" s="10" t="s">
        <v>21</v>
      </c>
      <c r="D24" s="10" t="s">
        <v>13</v>
      </c>
      <c r="E24" s="10" t="s">
        <v>35</v>
      </c>
      <c r="F24" s="11" t="n">
        <v>654320</v>
      </c>
      <c r="G24" s="11" t="n">
        <v>640000</v>
      </c>
      <c r="H24" s="11" t="n">
        <v>512780</v>
      </c>
      <c r="I24" s="12" t="n">
        <v>1890</v>
      </c>
    </row>
    <row r="25" customFormat="false" ht="15" hidden="false" customHeight="false" outlineLevel="0" collapsed="false">
      <c r="A25" s="10" t="s">
        <v>36</v>
      </c>
      <c r="B25" s="10" t="s">
        <v>37</v>
      </c>
      <c r="C25" s="10" t="s">
        <v>21</v>
      </c>
      <c r="D25" s="10" t="s">
        <v>9</v>
      </c>
      <c r="E25" s="10" t="s">
        <v>38</v>
      </c>
      <c r="F25" s="11" t="n">
        <v>3102500</v>
      </c>
      <c r="G25" s="11" t="n">
        <v>3050000</v>
      </c>
      <c r="H25" s="11" t="n">
        <v>2410000</v>
      </c>
      <c r="I25" s="12" t="n">
        <v>6920</v>
      </c>
    </row>
    <row r="26" customFormat="false" ht="15" hidden="false" customHeight="false" outlineLevel="0" collapsed="false">
      <c r="A26" s="10" t="s">
        <v>39</v>
      </c>
      <c r="B26" s="10" t="s">
        <v>40</v>
      </c>
      <c r="C26" s="10" t="s">
        <v>31</v>
      </c>
      <c r="D26" s="10" t="s">
        <v>11</v>
      </c>
      <c r="E26" s="10" t="s">
        <v>41</v>
      </c>
      <c r="F26" s="11" t="n">
        <v>421750.4</v>
      </c>
      <c r="G26" s="11" t="n">
        <v>400000</v>
      </c>
      <c r="H26" s="11" t="n">
        <v>338900</v>
      </c>
      <c r="I26" s="12" t="n">
        <v>1215</v>
      </c>
    </row>
    <row r="27" customFormat="false" ht="15" hidden="false" customHeight="false" outlineLevel="0" collapsed="false">
      <c r="A27" s="10" t="s">
        <v>42</v>
      </c>
      <c r="B27" s="10" t="s">
        <v>43</v>
      </c>
      <c r="C27" s="10" t="s">
        <v>21</v>
      </c>
      <c r="D27" s="10" t="s">
        <v>12</v>
      </c>
      <c r="E27" s="10" t="s">
        <v>44</v>
      </c>
      <c r="F27" s="11" t="n">
        <v>987600</v>
      </c>
      <c r="G27" s="11" t="n">
        <v>960000</v>
      </c>
      <c r="H27" s="10" t="s">
        <v>45</v>
      </c>
      <c r="I27" s="12" t="n">
        <v>2560</v>
      </c>
    </row>
    <row r="28" customFormat="false" ht="15" hidden="false" customHeight="false" outlineLevel="0" collapsed="false">
      <c r="A28" s="10" t="s">
        <v>46</v>
      </c>
      <c r="B28" s="10" t="s">
        <v>47</v>
      </c>
      <c r="C28" s="10" t="s">
        <v>31</v>
      </c>
      <c r="D28" s="10" t="s">
        <v>9</v>
      </c>
      <c r="E28" s="10" t="s">
        <v>48</v>
      </c>
      <c r="F28" s="11" t="n">
        <v>732100</v>
      </c>
      <c r="G28" s="11" t="n">
        <v>720000</v>
      </c>
      <c r="H28" s="11" t="n">
        <v>590400</v>
      </c>
      <c r="I28" s="12" t="n">
        <v>1980</v>
      </c>
    </row>
    <row r="29" customFormat="false" ht="15" hidden="false" customHeight="false" outlineLevel="0" collapsed="false">
      <c r="A29" s="10" t="s">
        <v>46</v>
      </c>
      <c r="B29" s="10" t="s">
        <v>47</v>
      </c>
      <c r="C29" s="10" t="s">
        <v>31</v>
      </c>
      <c r="D29" s="10" t="s">
        <v>9</v>
      </c>
      <c r="E29" s="10" t="s">
        <v>48</v>
      </c>
      <c r="F29" s="11" t="n">
        <v>15400</v>
      </c>
      <c r="G29" s="11" t="n">
        <v>15400</v>
      </c>
      <c r="H29" s="11" t="n">
        <v>9800</v>
      </c>
      <c r="I29" s="12" t="n">
        <v>42</v>
      </c>
    </row>
    <row r="30" customFormat="false" ht="15" hidden="false" customHeight="false" outlineLevel="0" collapsed="false">
      <c r="A30" s="10" t="s">
        <v>49</v>
      </c>
      <c r="B30" s="10" t="s">
        <v>50</v>
      </c>
      <c r="C30" s="10" t="s">
        <v>21</v>
      </c>
      <c r="D30" s="10" t="s">
        <v>10</v>
      </c>
      <c r="E30" s="10" t="s">
        <v>51</v>
      </c>
      <c r="F30" s="11" t="n">
        <v>1120000</v>
      </c>
      <c r="G30" s="11" t="n">
        <v>1095500</v>
      </c>
      <c r="H30" s="11" t="n">
        <v>870250</v>
      </c>
      <c r="I30" s="12" t="n">
        <v>2875</v>
      </c>
    </row>
    <row r="31" customFormat="false" ht="15" hidden="false" customHeight="false" outlineLevel="0" collapsed="false">
      <c r="A31" s="10"/>
      <c r="B31" s="10" t="s">
        <v>52</v>
      </c>
      <c r="C31" s="10" t="s">
        <v>31</v>
      </c>
      <c r="D31" s="10" t="s">
        <v>13</v>
      </c>
      <c r="E31" s="10" t="s">
        <v>53</v>
      </c>
      <c r="F31" s="11" t="n">
        <v>568900</v>
      </c>
      <c r="G31" s="11" t="n">
        <v>550000</v>
      </c>
      <c r="H31" s="11" t="n">
        <v>431200</v>
      </c>
      <c r="I31" s="12" t="n">
        <v>1430</v>
      </c>
    </row>
  </sheetData>
  <mergeCells count="14">
    <mergeCell ref="A1:I1"/>
    <mergeCell ref="A2:I2"/>
    <mergeCell ref="A4:E4"/>
    <mergeCell ref="A5:E5"/>
    <mergeCell ref="A6:E6"/>
    <mergeCell ref="A7:E7"/>
    <mergeCell ref="A8:E8"/>
    <mergeCell ref="A10:E10"/>
    <mergeCell ref="A12:E12"/>
    <mergeCell ref="A13:E13"/>
    <mergeCell ref="A14:E14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2026-10-27T09:53:48Z</dcterms:created>
  <dc:creator>openpyxl</dc:creator>
  <dc:description/>
  <dc:language>en-US</dc:language>
  <cp:lastModifiedBy/>
  <dcterms:modified xsi:type="dcterms:W3CDTF">2026-10-27T09:53:48Z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