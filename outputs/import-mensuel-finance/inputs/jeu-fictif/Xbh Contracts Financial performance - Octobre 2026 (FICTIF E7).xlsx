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BH Contra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<sst xmlns="http://schemas.openxmlformats.org/spreadsheetml/2006/main" count="34" uniqueCount="28">
  <si>
    <t xml:space="preserve">Xbh Contracts Financial performance : Octobre 2026 — DONNÉES FICTIVES (scénario E7)</t>
  </si>
  <si>
    <t xml:space="preserve">Jeu de test fictif — aucune donnée Airbus réelle</t>
  </si>
  <si>
    <t xml:space="preserve">TOTAUX GLOBAUX — tous contrats</t>
  </si>
  <si>
    <t xml:space="preserve">Turnover (€)</t>
  </si>
  <si>
    <t xml:space="preserve">Invoicing (€)</t>
  </si>
  <si>
    <t xml:space="preserve">Cost (€)</t>
  </si>
  <si>
    <t xml:space="preserve">Flight Hours</t>
  </si>
  <si>
    <t xml:space="preserve">Nombre de lignes de contrats</t>
  </si>
  <si>
    <t xml:space="preserve">WBS</t>
  </si>
  <si>
    <t xml:space="preserve">Client Name</t>
  </si>
  <si>
    <t xml:space="preserve">Contract Type</t>
  </si>
  <si>
    <t xml:space="preserve">Region</t>
  </si>
  <si>
    <t xml:space="preserve">Country</t>
  </si>
  <si>
    <t xml:space="preserve">FH.TEST101</t>
  </si>
  <si>
    <t xml:space="preserve">Quartz Aviation</t>
  </si>
  <si>
    <t xml:space="preserve">XBH</t>
  </si>
  <si>
    <t xml:space="preserve">Europe</t>
  </si>
  <si>
    <t xml:space="preserve">Belgique</t>
  </si>
  <si>
    <t xml:space="preserve">Nova Energy Services</t>
  </si>
  <si>
    <t xml:space="preserve">Multiservices</t>
  </si>
  <si>
    <t xml:space="preserve">AFME</t>
  </si>
  <si>
    <t xml:space="preserve">Nigeria</t>
  </si>
  <si>
    <t xml:space="preserve">Orion Medical Fleet</t>
  </si>
  <si>
    <t xml:space="preserve">APAC</t>
  </si>
  <si>
    <t xml:space="preserve">Singapour</t>
  </si>
  <si>
    <t xml:space="preserve">Polar Air</t>
  </si>
  <si>
    <t xml:space="preserve">NORAM</t>
  </si>
  <si>
    <t xml:space="preserve">Canada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</si>
</sst>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#,##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2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8" min="6" style="0" width="18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5" t="n">
        <f aca="false">SUM(F20:F23)</f>
        <v>1811450</v>
      </c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  <c r="F6" s="5" t="n">
        <f aca="false">SUM(G20:G23)</f>
        <v>1760000</v>
      </c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  <c r="F7" s="5" t="n">
        <f aca="false">SUM(H20:H23)</f>
        <v>1366600</v>
      </c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6" t="n">
        <f aca="false">SUM(I20:I23)</f>
        <v>3390</v>
      </c>
    </row>
    <row r="10" customFormat="false" ht="15" hidden="false" customHeight="false" outlineLevel="0" collapsed="false">
      <c r="A10" s="4" t="s">
        <v>7</v>
      </c>
      <c r="B10" s="4"/>
      <c r="C10" s="4"/>
      <c r="D10" s="4"/>
      <c r="E10" s="4"/>
      <c r="F10" s="7" t="n">
        <f aca="false">COUNTA(B20:B23)</f>
        <v>4</v>
      </c>
    </row>
    <row r="19" customFormat="false" ht="15" hidden="false" customHeight="false" outlineLevel="0" collapsed="false">
      <c r="A19" s="8" t="s">
        <v>8</v>
      </c>
      <c r="B19" s="8" t="s">
        <v>9</v>
      </c>
      <c r="C19" s="8" t="s">
        <v>10</v>
      </c>
      <c r="D19" s="8" t="s">
        <v>11</v>
      </c>
      <c r="E19" s="8" t="s">
        <v>12</v>
      </c>
      <c r="F19" s="8" t="s">
        <v>3</v>
      </c>
      <c r="G19" s="8" t="s">
        <v>4</v>
      </c>
      <c r="H19" s="8" t="s">
        <v>5</v>
      </c>
      <c r="I19" s="8" t="s">
        <v>6</v>
      </c>
    </row>
    <row r="20" customFormat="false" ht="15" hidden="false" customHeight="false" outlineLevel="0" collapsed="false">
      <c r="A20" s="9" t="s">
        <v>13</v>
      </c>
      <c r="B20" s="9" t="s">
        <v>14</v>
      </c>
      <c r="C20" s="9" t="s">
        <v>15</v>
      </c>
      <c r="D20" s="9" t="s">
        <v>16</v>
      </c>
      <c r="E20" s="9" t="s">
        <v>17</v>
      </c>
      <c r="F20" s="10" t="n">
        <v>845200</v>
      </c>
      <c r="G20" s="10" t="n">
        <v>830000</v>
      </c>
      <c r="H20" s="10" t="n">
        <v>612400</v>
      </c>
      <c r="I20" s="11" t="n">
        <v>2210</v>
      </c>
    </row>
    <row r="21" customFormat="false" ht="15" hidden="false" customHeight="false" outlineLevel="0" collapsed="false">
      <c r="A21" s="9"/>
      <c r="B21" s="9" t="s">
        <v>18</v>
      </c>
      <c r="C21" s="9" t="s">
        <v>19</v>
      </c>
      <c r="D21" s="9" t="s">
        <v>20</v>
      </c>
      <c r="E21" s="9" t="s">
        <v>21</v>
      </c>
      <c r="F21" s="10" t="n">
        <v>312500</v>
      </c>
      <c r="G21" s="10" t="n">
        <v>300000</v>
      </c>
      <c r="H21" s="10" t="n">
        <v>241800</v>
      </c>
      <c r="I21" s="11" t="n">
        <v>0</v>
      </c>
    </row>
    <row r="22" customFormat="false" ht="15" hidden="false" customHeight="false" outlineLevel="0" collapsed="false">
      <c r="A22" s="9"/>
      <c r="B22" s="9" t="s">
        <v>22</v>
      </c>
      <c r="C22" s="9" t="s">
        <v>19</v>
      </c>
      <c r="D22" s="9" t="s">
        <v>23</v>
      </c>
      <c r="E22" s="9" t="s">
        <v>24</v>
      </c>
      <c r="F22" s="10" t="n">
        <v>198750</v>
      </c>
      <c r="G22" s="10" t="n">
        <v>190000</v>
      </c>
      <c r="H22" s="10" t="n">
        <v>150300</v>
      </c>
      <c r="I22" s="11" t="n">
        <v>0</v>
      </c>
    </row>
    <row r="23" customFormat="false" ht="15" hidden="false" customHeight="false" outlineLevel="0" collapsed="false">
      <c r="A23" s="9"/>
      <c r="B23" s="9" t="s">
        <v>25</v>
      </c>
      <c r="C23" s="9" t="s">
        <v>15</v>
      </c>
      <c r="D23" s="9" t="s">
        <v>26</v>
      </c>
      <c r="E23" s="9" t="s">
        <v>27</v>
      </c>
      <c r="F23" s="10" t="n">
        <v>455000</v>
      </c>
      <c r="G23" s="10" t="n">
        <v>440000</v>
      </c>
      <c r="H23" s="10" t="n">
        <v>362100</v>
      </c>
      <c r="I23" s="11" t="n">
        <v>1180</v>
      </c>
    </row>
  </sheetData>
  <mergeCells count="8">
    <mergeCell ref="A1:I1"/>
    <mergeCell ref="A2:I2"/>
    <mergeCell ref="A4:E4"/>
    <mergeCell ref="A5:E5"/>
    <mergeCell ref="A6:E6"/>
    <mergeCell ref="A7:E7"/>
    <mergeCell ref="A8:E8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2026-10-27T21:30:41Z</dcterms:created>
  <dc:creator>openpyxl</dc:creator>
  <dc:description/>
  <dc:language>en-US</dc:language>
  <cp:lastModifiedBy/>
  <dcterms:modified xsi:type="dcterms:W3CDTF">2026-10-27T21:30:41Z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